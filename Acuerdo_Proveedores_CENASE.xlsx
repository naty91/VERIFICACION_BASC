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esktop\NATHALY VARELA\2026\PROVEEDORES\"/>
    </mc:Choice>
  </mc:AlternateContent>
  <xr:revisionPtr revIDLastSave="0" documentId="13_ncr:1_{3D2B965F-46EA-4312-BB15-108F8D9AD975}" xr6:coauthVersionLast="47" xr6:coauthVersionMax="47" xr10:uidLastSave="{00000000-0000-0000-0000-000000000000}"/>
  <bookViews>
    <workbookView xWindow="-120" yWindow="-120" windowWidth="20730" windowHeight="11040" activeTab="1" xr2:uid="{00000000-000D-0000-FFFF-FFFF00000000}"/>
  </bookViews>
  <sheets>
    <sheet name="PROVEEDORES" sheetId="1" r:id="rId1"/>
    <sheet name="ACUERDO" sheetId="2" r:id="rId2"/>
    <sheet name="INSTRUCCIONES" sheetId="3" r:id="rId3"/>
  </sheets>
  <definedNames>
    <definedName name="_xlnm.Print_Area" localSheetId="1">ACUERDO!$A$1:$H$92</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0" i="2" l="1"/>
  <c r="C25" i="2" s="1"/>
  <c r="K9" i="2"/>
  <c r="C24" i="2" s="1"/>
  <c r="K8" i="2"/>
  <c r="C23" i="2" s="1"/>
  <c r="K7" i="2"/>
  <c r="C22" i="2" s="1"/>
  <c r="K6" i="2"/>
  <c r="E50" i="2" s="1"/>
  <c r="K5" i="2"/>
  <c r="K4" i="2"/>
  <c r="A8" i="2" l="1"/>
</calcChain>
</file>

<file path=xl/sharedStrings.xml><?xml version="1.0" encoding="utf-8"?>
<sst xmlns="http://schemas.openxmlformats.org/spreadsheetml/2006/main" count="89" uniqueCount="80">
  <si>
    <t>N° PROVEEDOR</t>
  </si>
  <si>
    <t>RAZÓN SOCIAL / COMPAÑÍA</t>
  </si>
  <si>
    <t>RUC</t>
  </si>
  <si>
    <t>REPRESENTANTE LEGAL</t>
  </si>
  <si>
    <t>DIRECCIÓN</t>
  </si>
  <si>
    <t>TELÉFONOS</t>
  </si>
  <si>
    <t>CORREO ELECTRÓNICO</t>
  </si>
  <si>
    <t>PERSONA DE CONTACTO</t>
  </si>
  <si>
    <t>ACUERDO DE CONFIDENCIALIDAD Y PROTECCIÓN DE DATOS PERSONALES</t>
  </si>
  <si>
    <t>CAMPO</t>
  </si>
  <si>
    <t>DATO</t>
  </si>
  <si>
    <t>N° PROVEEDOR:</t>
  </si>
  <si>
    <t>Razón social</t>
  </si>
  <si>
    <t>Conste por el presente documento el Acuerdo de Confidencialidad y Protección de Datos, que celebran de una parte:</t>
  </si>
  <si>
    <t>Representante legal</t>
  </si>
  <si>
    <t>Dirección</t>
  </si>
  <si>
    <t>Teléfonos</t>
  </si>
  <si>
    <t>Correo</t>
  </si>
  <si>
    <t>Contacto</t>
  </si>
  <si>
    <t>1. Utilizar la información única y exclusivamente para cumplir con la provisión solicitada.</t>
  </si>
  <si>
    <t>2. No divulgar, copiar, reproducir ni transferir dicha información a ningún tercero sin la autorización previa y por escrito de CENASE.</t>
  </si>
  <si>
    <t>3. Mantener el secreto profesional incluso después de terminada la relación de provisión, de forma indefinida.</t>
  </si>
  <si>
    <t>1. Tratar los datos personales únicamente bajo las instrucciones de CENASE y para los fines propios del servicio/producto.</t>
  </si>
  <si>
    <t>2. Implementar medidas de seguridad básicas (técnicas y organizativas) para evitar la pérdida, robo o acceso no autorizado a los datos.</t>
  </si>
  <si>
    <t>3. Notificar a CENASE de manera inmediata (máximo en 24 horas) cualquier sospecha de incidente o brecha de seguridad.</t>
  </si>
  <si>
    <t>4. Eliminar o devolver todos los datos personales a los que tuvo acceso una vez concluida la entrega del bien o servicio, salvo obligación legal de conservación.</t>
  </si>
  <si>
    <t>PROVEEDOR</t>
  </si>
  <si>
    <t>CENASE</t>
  </si>
  <si>
    <t>Dirección:</t>
  </si>
  <si>
    <t>Cdla. Miraflores, Av. Guayas 303</t>
  </si>
  <si>
    <t>Teléfonos:</t>
  </si>
  <si>
    <t>044 608055</t>
  </si>
  <si>
    <t>Correo electrónico:</t>
  </si>
  <si>
    <t>bcamacho@cenase.ec; contador@cenase.ec</t>
  </si>
  <si>
    <t>Persona de contacto:</t>
  </si>
  <si>
    <t>Nathaly Varela</t>
  </si>
  <si>
    <t>Las partes deberán notificar a las otras en caso de que exista un cambio en el lugar donde se deben realizar las notificaciones, en tal caso, si no se notificaren se entenderán correctamente realizadas en las direcciones antes detalladas.</t>
  </si>
  <si>
    <t>• Acuerdo de seguridad como asociado de negocio BASC
• Copia de Registro Único de Contribuyente vigente de CENASE
• Copia de Registro Único de Contribuyente vigente del PROVEEDOR
• Copia de cédula del Rep. Legal de CENASE
• Copia de cédula del Rep. Legal del PROVEEDOR
• Cotización de servicios aprobados</t>
  </si>
  <si>
    <t>Las Partes acuerdan que el presente contrato podrá ser suscrito de forma manuscrita o mediante firma electrónica. De conformidad con los artículos 14, 45 y 46 de la Ley de Comercio Electrónico, Firmas Electrónicas y Mensajes de Datos, la firma electrónica tiene igual validez y los mismos efectos jurídicos que la firma manuscrita, por lo que las Partes reconocen que el contrato suscrito por este medio es plenamente válido, vinculante y exigible. La firma electrónica deberá haber sido emitida por una entidad de certificación acreditada ante la ARCOTEL y podrá estamparse y verificarse a través de la herramienta oficial FirmaEC. El ejemplar firmado electrónicamente en formato digital, junto con su registro de firmas, constituye prueba suficiente de la celebración del contrato; de requerirse ejemplares físicos para fines internos o ante terceros, las Partes podrán imprimir copias del documento firmado electrónicamente.</t>
  </si>
  <si>
    <t>NELLI OLIMPIA GUAYGUA REYES</t>
  </si>
  <si>
    <t>ANEXO</t>
  </si>
  <si>
    <t>ACUERDO DE SEGURIDAD DE ASOCIADOS DE NEGOCIO BASC</t>
  </si>
  <si>
    <t>En el lugar y fecha en que se suscribe el contrato principal, se celebran también los siguientes acuerdos de seguridad la misma que tiene estatus de documento formal y/o informativo, en el que se establecen relevantes aspectos de control y seguridad, con la finalidad de que la relación comercial entre CENASE y EL PROVEEDOR que en adelante se lo llamará NUESTRO ASOCIADO DE NEGOCIO se desarrolle respetando parámetros mínimos de seguridad establecidos en el SGCS BASC, sistema de gestión en control y seguridad implementado por CENASE para el cumplimiento de sus políticas.</t>
  </si>
  <si>
    <t>A continuación, informamos nuestras políticas:</t>
  </si>
  <si>
    <t>POLÍTICA DE CONTROL Y SEGURIDAD</t>
  </si>
  <si>
    <t>En CENASE, nos comprometemos a entregar el servicio de vigilancia y seguridad física cumpliendo el marco legal, promoviendo activamente una cultura de seguridad en nuestros procesos que nos lleven a la mejora continua, de manera que nuestro cliente se sienta seguro.</t>
  </si>
  <si>
    <t>Por tal razón, CENASE cuenta con un Sistema de Gestión de Control y Seguridad basado en la norma y estándares BASC que constituye un apoyo fundamental para prevenir riesgos de actividades ilícitas, corrupción y soborno.</t>
  </si>
  <si>
    <t>POLÍTICA DE RESPONSABILIDAD SOCIAL, ANTICORRUPCIÓN Y ANTISOBORNO</t>
  </si>
  <si>
    <t>En CENASE respetamos los derechos humanos universales y la preservación de los recursos naturales, colaboramos con toda actividad relacionada con la prevención del abuso laboral, discriminación, abuso infantil, trabajo forzoso y abuso de los recursos medioambientales, cumpliendo todas las normativas relacionadas, socializando los aspectos relevantes e implementando una cultura de mejoramiento para las nuevas generaciones.</t>
  </si>
  <si>
    <t>Denunciaremos toda actividad ilegal y deshonesta relacionada con corrupción y/o soborno en las actividades corporativas, no toleramos comportamientos ilegítimos y antijurídicos y nos comprometemos a implementar todas las acciones requeridas.</t>
  </si>
  <si>
    <t>ACUERDOS GENERALES</t>
  </si>
  <si>
    <t>NUESTRO ASOCIADO DE NEGOCIO, se compromete a cumplir los siguientes aspectos críticos de seguridad, contenidos en los acuerdos generales o específicos del presente documento.</t>
  </si>
  <si>
    <t>• Se compromete a cumplir con la reglamentación y los requisitos legales aplicables a su giro de negocio.
• Declara que sus direcciones principales y sucursales son las que constan en la información registrada en los organismos de control; cualquier cambio de dirección principal o sucursal, deberá ser notificada de manera inmediata al líder del proceso relacionado o al funcionario responsable de la gestión de asociados de negocio, prevención del lavado de activos y financiamiento del terrorismo de CENASE.
• Se compromete a guardar la confidencialidad de la información relacionada a su modelo operativo y el de CENASE.
• Declara no haber participado de manera personal y directa, ni en representación de su empresa, y/o prestando su nombre en representación de otra persona natural o jurídica, para el cometimiento o facilitación de actividades relacionadas con el lavado de activos, financiamiento del terrorismo o de otras actividades consideradas ilegales e ilícitas por los organismos de control gubernamental.
• Declara que los beneficiarios finales destinatarios de los recursos o bienes resultantes del contrato / prestación del servicio a CENASE, son los registrados y autorizados por los entes de control; de igual manera declara que los recursos con los que cuenta de manera personal y/o empresarial para la prestación del servicio y el desarrollo de sus actividades comerciales, tienen un origen y destino legal y lícito, de acuerdo a las reglamentaciones y leyes gubernamentales aplicables.
• Declara que sus representantes y accionistas no son Personas Expuestas Políticamente (PEP).
• CENASE se reserva el derecho a facilitar los datos de NUESTRO ASOCIADO DE NEGOCIO a las autoridades de control competentes, en cualquier momento y en cualquiera de las etapas de la actividad comercial, con la finalidad de asegurar la integridad de los procesos críticos, la información sensible, y si aplicase, la unidad de carga y la carga de exportación.</t>
  </si>
  <si>
    <t>Importante: El presente acuerdo de seguridad puede complementarse con otras directrices o instrucciones permanentes / temporales de seguridad que establezcan los involucrados, medidas tendientes a gestionar los riesgos de la operación / actividad u objeto de la relación comercial.</t>
  </si>
  <si>
    <t>PLANTILLA AUTOMÁTICA – ACUERDO DE PROVEEDORES</t>
  </si>
  <si>
    <t>1. Registre cada proveedor una sola vez en la hoja PROVEEDORES.</t>
  </si>
  <si>
    <t>2. Cada proveedor tiene un número único del 1 al 100.</t>
  </si>
  <si>
    <t>3. En ACUERDO escriba solamente ese número en la celda amarilla B2.</t>
  </si>
  <si>
    <t>4. Los datos del proveedor y el nombre del firmante se actualizan automáticamente.</t>
  </si>
  <si>
    <t>5. Para imprimir: seleccione papel A4, orientación vertical y ajuste a 1 página de ancho.</t>
  </si>
  <si>
    <t xml:space="preserve">NATHALY VARELA </t>
  </si>
  <si>
    <t>0927255406001</t>
  </si>
  <si>
    <t xml:space="preserve">23 AVA Y FRANCISCO SEGURA </t>
  </si>
  <si>
    <t>0989829904</t>
  </si>
  <si>
    <t>NATHALYCOM@MSN.COM</t>
  </si>
  <si>
    <t xml:space="preserve">ROCIO BENAVIDES </t>
  </si>
  <si>
    <t>A.La compañía de seguridad CENTRO DE ASESORAMIENTO Y SEGURIDAD EMPRESARIAL CENASE CIA. LTDA., con RUC 0991317791001, debida y legalmente representada por NELLI OLIMPIA GUAYGUA REYES – Gerente General, cuya personería se acredita con el nombramiento que se adjunta al presente instrumento en calidad de documento habilitante, a quien en lo posterior se la denominará “CENASE”, por otra parte;</t>
  </si>
  <si>
    <r>
      <rPr>
        <b/>
        <sz val="10"/>
        <rFont val="Carlito"/>
      </rPr>
      <t>PRIMERA: OBJETO.-</t>
    </r>
    <r>
      <rPr>
        <sz val="10"/>
        <rFont val="Carlito"/>
      </rPr>
      <t xml:space="preserve"> El presente Acuerdo tiene por objeto garantizar el secreto, confidencialidad y el uso lícito de toda la información y los datos personales a los que el PROVEEDOR tenga acceso, directa o indirectamente, con ocasión de los productos entregados o servicios prestados a CENASE (cadena de suministro, soporte técnico, sistemas, equipos de seguridad, asesorías, entre otros).</t>
    </r>
  </si>
  <si>
    <r>
      <rPr>
        <b/>
        <sz val="10"/>
        <rFont val="Carlito"/>
      </rPr>
      <t>SEGUNDA: CONFIDENCIALIDAD DE LA INFORMACIÓN.-</t>
    </r>
    <r>
      <rPr>
        <sz val="10"/>
        <rFont val="Carlito"/>
      </rPr>
      <t xml:space="preserve"> El PROVEEDOR reconoce que toda la información comercial, técnica, financiera, listados de clientes, planes de seguridad, vulnerabilidades, claves de acceso o estrategias de CENASE es de propiedad exclusiva de esta última y tiene carácter de estrictamente confidencial. En consecuencia, el PROVEEDOR se obliga a:</t>
    </r>
  </si>
  <si>
    <r>
      <rPr>
        <b/>
        <sz val="10"/>
        <rFont val="Carlito"/>
      </rPr>
      <t xml:space="preserve">TERCERA: PROTECCIÓN DE DATOS PERSONALES.- </t>
    </r>
    <r>
      <rPr>
        <sz val="10"/>
        <rFont val="Carlito"/>
      </rPr>
      <t>En cumplimiento de la Ley Orgánica de Protección de Datos Personales (LOPDP), las partes declaran que CENASE actúa como Responsable del Tratamiento y el PROVEEDOR actuará en calidad de Encargado del Tratamiento si para la ejecución de su labor requiere acceder a bases de datos, imágenes de videovigilancia, registros de personal o clientes de CENASE. Por lo tanto, el PROVEEDOR se compromete a:</t>
    </r>
  </si>
  <si>
    <r>
      <rPr>
        <b/>
        <sz val="10"/>
        <rFont val="Carlito"/>
      </rPr>
      <t>CUARTA: RESPONSABILIDAD.</t>
    </r>
    <r>
      <rPr>
        <sz val="10"/>
        <rFont val="Carlito"/>
      </rPr>
      <t>- El PROVEEDOR asume la responsabilidad total por cualquier filtración de información o mal uso de datos personales atribuible a su personal o técnicos externos. En caso de que CENASE reciba sanciones, multas o demandas bajo la Ley Orgánica de Protección de Datos Personales (LOPDP) por negligencia del PROVEEDOR, este último estará obligado a indemnizar y reembolsar a CENASE la totalidad de los valores económicos afectados..</t>
    </r>
  </si>
  <si>
    <r>
      <rPr>
        <b/>
        <sz val="10"/>
        <rFont val="Carlito"/>
      </rPr>
      <t>QUINTA: DOMICILIO, DIRECCIÓN Y COMUNICACIONES.-</t>
    </r>
    <r>
      <rPr>
        <sz val="10"/>
        <rFont val="Carlito"/>
      </rPr>
      <t xml:space="preserve"> LAS PARTES señalan que cualquier notificación requerida por el presente documento, se hará por escrito y se considerarán suficientes cuando sea enviada por correo electrónico en las siguientes direcciones:</t>
    </r>
  </si>
  <si>
    <r>
      <rPr>
        <b/>
        <sz val="10"/>
        <rFont val="Carlito"/>
      </rPr>
      <t>VIGÉSIMA QUINTA:</t>
    </r>
    <r>
      <rPr>
        <sz val="10"/>
        <rFont val="Carlito"/>
      </rPr>
      <t xml:space="preserve"> Son Documentos anexos a este contrato:</t>
    </r>
  </si>
  <si>
    <r>
      <rPr>
        <b/>
        <sz val="10"/>
        <rFont val="Carlito"/>
      </rPr>
      <t>QUINTA: ACEPTACIÓN Y FIRMA.-</t>
    </r>
    <r>
      <rPr>
        <sz val="10"/>
        <rFont val="Carlito"/>
      </rPr>
      <t xml:space="preserve"> Libre y voluntariamente, previo el cumplimiento de todos los requisitos exigidos por las leyes de la materia, las partes declaran expresamente su aceptación a todo lo convenido en el presente contrato, a cuyas estipulaciones se someten.</t>
    </r>
  </si>
  <si>
    <t>Para constancia de lo acordado, las partes intervinientes suscriben el presente contrato por triplicado en la ciudad de Guayaquil, el 25 de agosto de 2026.</t>
  </si>
  <si>
    <t>0992922257001</t>
  </si>
  <si>
    <t>CENTRO DE FORMACION Y CAPACITACION NUEVA ERA ESFERACORPI C. LTDA.</t>
  </si>
  <si>
    <t>6003111/6003112</t>
  </si>
  <si>
    <t>tsoto@esfera.edu.ec,parova2011@hotmail.com</t>
  </si>
  <si>
    <t xml:space="preserve">www.cenase.ec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</si>
</sst>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b/>
      <sz val="11"/>
      <color rgb="FFFFFFFF"/>
      <name val="Carlito"/>
    </font>
    <font>
      <b/>
      <sz val="14"/>
      <color rgb="FFFFFFFF"/>
      <name val="Carlito"/>
    </font>
    <font>
      <b/>
      <sz val="11"/>
      <name val="Carlito"/>
    </font>
    <font>
      <sz val="10"/>
      <name val="Carlito"/>
    </font>
    <font>
      <sz val="9"/>
      <name val="Carlito"/>
    </font>
    <font>
      <b/>
      <sz val="10"/>
      <name val="Carlito"/>
    </font>
    <font>
      <sz val="10"/>
      <name val="Carlito"/>
    </font>
    <font>
      <u/>
      <sz val="11"/>
      <color theme="10"/>
      <name val="Carlito"/>
    </font>
    <font>
      <b/>
      <sz val="10"/>
      <color rgb="FF004F88"/>
      <name val="Carlito"/>
    </font>
    <font>
      <b/>
      <sz val="10"/>
      <color rgb="FFFFFFFF"/>
      <name val="Carlito"/>
    </font>
    <font>
      <i/>
      <sz val="10"/>
      <color rgb="FF007BB8"/>
      <name val="Carlito"/>
    </font>
    <font>
      <sz val="10"/>
      <name val="Verdana"/>
      <family val="2"/>
    </font>
  </fonts>
  <fills count="7">
    <fill>
      <patternFill patternType="none"/>
    </fill>
    <fill>
      <patternFill patternType="gray125"/>
    </fill>
    <fill>
      <patternFill patternType="solid">
        <fgColor rgb="FF17365D"/>
      </patternFill>
    </fill>
    <fill>
      <patternFill patternType="solid">
        <fgColor rgb="FFD9EAF7"/>
      </patternFill>
    </fill>
    <fill>
      <patternFill patternType="solid">
        <fgColor rgb="FFFFF2CC"/>
      </patternFill>
    </fill>
    <fill>
      <patternFill patternType="solid">
        <fgColor rgb="FF333399"/>
        <bgColor indexed="64"/>
      </patternFill>
    </fill>
    <fill>
      <patternFill patternType="solid">
        <fgColor theme="7" tint="0.39997558519241921"/>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34">
    <xf numFmtId="0" fontId="0" fillId="0" borderId="0" xfId="0"/>
    <xf numFmtId="0" fontId="1" fillId="2" borderId="0" xfId="0" applyFont="1" applyFill="1" applyAlignment="1">
      <alignment horizontal="center" wrapText="1"/>
    </xf>
    <xf numFmtId="0" fontId="0" fillId="0" borderId="0" xfId="0" applyAlignment="1">
      <alignment wrapText="1"/>
    </xf>
    <xf numFmtId="0" fontId="3" fillId="4" borderId="0" xfId="0" applyFont="1" applyFill="1" applyAlignment="1">
      <alignment horizontal="center"/>
    </xf>
    <xf numFmtId="0" fontId="6" fillId="0" borderId="0" xfId="0" applyFont="1" applyAlignment="1">
      <alignment horizontal="justify" wrapText="1"/>
    </xf>
    <xf numFmtId="0" fontId="2" fillId="2" borderId="0" xfId="0" applyFont="1" applyFill="1" applyAlignment="1">
      <alignment horizontal="center"/>
    </xf>
    <xf numFmtId="0" fontId="4" fillId="0" borderId="0" xfId="0" applyFont="1" applyAlignment="1">
      <alignment horizontal="justify" wrapText="1"/>
    </xf>
    <xf numFmtId="0" fontId="3" fillId="0" borderId="0" xfId="0" applyFont="1" applyAlignment="1">
      <alignment horizontal="center"/>
    </xf>
    <xf numFmtId="0" fontId="6" fillId="0" borderId="0" xfId="0" applyFont="1" applyAlignment="1">
      <alignment horizontal="justify" wrapText="1"/>
    </xf>
    <xf numFmtId="0" fontId="0" fillId="0" borderId="0" xfId="0" applyAlignment="1">
      <alignment wrapText="1"/>
    </xf>
    <xf numFmtId="49" fontId="0" fillId="0" borderId="0" xfId="0" applyNumberFormat="1" applyAlignment="1">
      <alignment wrapText="1"/>
    </xf>
    <xf numFmtId="0" fontId="8" fillId="0" borderId="0" xfId="1" applyAlignment="1">
      <alignment wrapText="1"/>
    </xf>
    <xf numFmtId="0" fontId="2" fillId="2" borderId="0" xfId="0" applyFont="1" applyFill="1" applyAlignment="1">
      <alignment horizontal="center" wrapText="1"/>
    </xf>
    <xf numFmtId="0" fontId="3" fillId="3" borderId="0" xfId="0" applyFont="1" applyFill="1" applyAlignment="1"/>
    <xf numFmtId="0" fontId="0" fillId="0" borderId="0" xfId="0" applyAlignment="1"/>
    <xf numFmtId="0" fontId="4" fillId="0" borderId="0" xfId="0" applyFont="1" applyAlignment="1">
      <alignment horizontal="justify" vertical="top"/>
    </xf>
    <xf numFmtId="0" fontId="4" fillId="0" borderId="0" xfId="0" applyFont="1" applyAlignment="1">
      <alignment horizontal="justify"/>
    </xf>
    <xf numFmtId="0" fontId="6" fillId="0" borderId="0" xfId="0" applyFont="1" applyAlignment="1">
      <alignment horizontal="center"/>
    </xf>
    <xf numFmtId="0" fontId="7" fillId="0" borderId="0" xfId="0" applyFont="1" applyAlignment="1">
      <alignment horizontal="justify"/>
    </xf>
    <xf numFmtId="0" fontId="6" fillId="0" borderId="0" xfId="0" applyFont="1" applyAlignment="1">
      <alignment horizontal="justify"/>
    </xf>
    <xf numFmtId="0" fontId="5" fillId="0" borderId="0" xfId="0" applyFont="1" applyAlignment="1"/>
    <xf numFmtId="0" fontId="3" fillId="3" borderId="2" xfId="0" applyFont="1" applyFill="1" applyBorder="1" applyAlignment="1">
      <alignment horizontal="center"/>
    </xf>
    <xf numFmtId="0" fontId="5" fillId="0" borderId="2" xfId="0" applyFont="1" applyBorder="1" applyAlignment="1"/>
    <xf numFmtId="0" fontId="5" fillId="0" borderId="2" xfId="0" applyFont="1" applyBorder="1" applyAlignment="1">
      <alignment horizontal="center"/>
    </xf>
    <xf numFmtId="0" fontId="9" fillId="0" borderId="0" xfId="0" applyFont="1" applyAlignment="1">
      <alignment horizontal="center"/>
    </xf>
    <xf numFmtId="0" fontId="6" fillId="0" borderId="0" xfId="0" applyFont="1" applyAlignment="1">
      <alignment horizontal="justify"/>
    </xf>
    <xf numFmtId="0" fontId="10" fillId="5" borderId="0" xfId="0" applyFont="1" applyFill="1" applyAlignment="1">
      <alignment horizontal="center"/>
    </xf>
    <xf numFmtId="0" fontId="6" fillId="0" borderId="0" xfId="0" applyFont="1" applyAlignment="1">
      <alignment horizontal="center"/>
    </xf>
    <xf numFmtId="0" fontId="11" fillId="0" borderId="0" xfId="0" applyFont="1" applyAlignment="1">
      <alignment horizontal="justify"/>
    </xf>
    <xf numFmtId="0" fontId="11" fillId="0" borderId="0" xfId="0" applyFont="1" applyAlignment="1">
      <alignment horizontal="justify"/>
    </xf>
    <xf numFmtId="0" fontId="12" fillId="6" borderId="1" xfId="0" applyFont="1" applyFill="1" applyBorder="1"/>
    <xf numFmtId="0" fontId="8" fillId="0" borderId="0" xfId="1" applyAlignment="1"/>
    <xf numFmtId="0" fontId="4" fillId="0" borderId="0" xfId="0" applyFont="1" applyAlignment="1">
      <alignment horizontal="justify"/>
    </xf>
    <xf numFmtId="0" fontId="8" fillId="0" borderId="0" xfId="1" applyAlignment="1">
      <alignment horizontal="left"/>
    </xf>
  </cellXfs>
  <cellStyles count="2">
    <cellStyle name="Hipervínculo" xfId="1" builtinId="8"/>
    <cellStyle name="Normal" xfId="0" builtinId="0"/>
  </cellStyles>
  <dxfs count="0"/>
  <tableStyles count="0" defaultTableStyle="TableStyleMedium2" defaultPivotStyle="PivotStyleLight16"/>
  <colors>
    <mruColors>
      <color rgb="FFFFFFFF"/>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600075</xdr:colOff>
      <xdr:row>0</xdr:row>
      <xdr:rowOff>38100</xdr:rowOff>
    </xdr:from>
    <xdr:to>
      <xdr:col>7</xdr:col>
      <xdr:colOff>914400</xdr:colOff>
      <xdr:row>1</xdr:row>
      <xdr:rowOff>135255</xdr:rowOff>
    </xdr:to>
    <xdr:pic>
      <xdr:nvPicPr>
        <xdr:cNvPr id="2" name="image2.png">
          <a:extLst>
            <a:ext uri="{FF2B5EF4-FFF2-40B4-BE49-F238E27FC236}">
              <a16:creationId xmlns:a16="http://schemas.microsoft.com/office/drawing/2014/main" id="{96EA8ECC-7810-AC1F-F0E6-FA8C5F9961E9}"/>
            </a:ext>
          </a:extLst>
        </xdr:cNvPr>
        <xdr:cNvPicPr/>
      </xdr:nvPicPr>
      <xdr:blipFill>
        <a:blip xmlns:r="http://schemas.openxmlformats.org/officeDocument/2006/relationships" r:embed="rId1"/>
        <a:srcRect/>
        <a:stretch>
          <a:fillRect/>
        </a:stretch>
      </xdr:blipFill>
      <xdr:spPr>
        <a:xfrm>
          <a:off x="5629275" y="38100"/>
          <a:ext cx="1152525" cy="278130"/>
        </a:xfrm>
        <a:prstGeom prst="rect">
          <a:avLst/>
        </a:prstGeom>
        <a:ln/>
      </xdr:spPr>
    </xdr:pic>
    <xdr:clientData/>
  </xdr:twoCellAnchor>
  <xdr:twoCellAnchor editAs="oneCell">
    <xdr:from>
      <xdr:col>0</xdr:col>
      <xdr:colOff>587375</xdr:colOff>
      <xdr:row>43</xdr:row>
      <xdr:rowOff>15875</xdr:rowOff>
    </xdr:from>
    <xdr:to>
      <xdr:col>3</xdr:col>
      <xdr:colOff>113931</xdr:colOff>
      <xdr:row>52</xdr:row>
      <xdr:rowOff>47625</xdr:rowOff>
    </xdr:to>
    <xdr:pic>
      <xdr:nvPicPr>
        <xdr:cNvPr id="3" name="Imagen 2">
          <a:extLst>
            <a:ext uri="{FF2B5EF4-FFF2-40B4-BE49-F238E27FC236}">
              <a16:creationId xmlns:a16="http://schemas.microsoft.com/office/drawing/2014/main" id="{986A5176-819E-5FC9-32FA-807595DF47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7375" y="14049375"/>
          <a:ext cx="2050681" cy="1635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NATHALYCOM@MSN.COM"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ase.ec/" TargetMode="External"/><Relationship Id="rId1" Type="http://schemas.openxmlformats.org/officeDocument/2006/relationships/hyperlink" Target="http://www.cenase.ec/"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zoomScaleNormal="100" workbookViewId="0">
      <selection activeCell="H3" sqref="H3"/>
    </sheetView>
  </sheetViews>
  <sheetFormatPr baseColWidth="10" defaultColWidth="9" defaultRowHeight="14.25"/>
  <cols>
    <col min="1" max="1" width="12" customWidth="1"/>
    <col min="2" max="2" width="30" customWidth="1"/>
    <col min="3" max="3" width="16" customWidth="1"/>
    <col min="4" max="4" width="27" customWidth="1"/>
    <col min="5" max="5" width="32" customWidth="1"/>
    <col min="6" max="6" width="18" customWidth="1"/>
    <col min="7" max="7" width="30" customWidth="1"/>
    <col min="8" max="8" width="25" customWidth="1"/>
  </cols>
  <sheetData>
    <row r="1" spans="1:8" ht="45">
      <c r="A1" s="1" t="s">
        <v>0</v>
      </c>
      <c r="B1" s="1" t="s">
        <v>1</v>
      </c>
      <c r="C1" s="1" t="s">
        <v>2</v>
      </c>
      <c r="D1" s="1" t="s">
        <v>3</v>
      </c>
      <c r="E1" s="1" t="s">
        <v>4</v>
      </c>
      <c r="F1" s="1" t="s">
        <v>5</v>
      </c>
      <c r="G1" s="1" t="s">
        <v>6</v>
      </c>
      <c r="H1" s="1" t="s">
        <v>7</v>
      </c>
    </row>
    <row r="2" spans="1:8">
      <c r="A2" s="2">
        <v>1</v>
      </c>
      <c r="B2" s="2" t="s">
        <v>60</v>
      </c>
      <c r="C2" s="10" t="s">
        <v>61</v>
      </c>
      <c r="D2" s="2" t="s">
        <v>60</v>
      </c>
      <c r="E2" s="2" t="s">
        <v>62</v>
      </c>
      <c r="F2" s="10" t="s">
        <v>63</v>
      </c>
      <c r="G2" s="11" t="s">
        <v>64</v>
      </c>
      <c r="H2" s="2" t="s">
        <v>65</v>
      </c>
    </row>
    <row r="3" spans="1:8">
      <c r="A3" s="2">
        <v>2</v>
      </c>
      <c r="B3" s="30" t="s">
        <v>76</v>
      </c>
      <c r="C3" s="30" t="s">
        <v>75</v>
      </c>
      <c r="D3" s="2"/>
      <c r="E3" s="2"/>
      <c r="F3" s="30" t="s">
        <v>77</v>
      </c>
      <c r="G3" s="30" t="s">
        <v>78</v>
      </c>
      <c r="H3" s="2"/>
    </row>
    <row r="4" spans="1:8">
      <c r="A4" s="2">
        <v>3</v>
      </c>
      <c r="B4" s="2"/>
      <c r="C4" s="2"/>
      <c r="D4" s="2"/>
      <c r="E4" s="2"/>
      <c r="F4" s="2"/>
      <c r="G4" s="2"/>
      <c r="H4" s="2"/>
    </row>
    <row r="5" spans="1:8">
      <c r="A5" s="2">
        <v>4</v>
      </c>
      <c r="B5" s="2"/>
      <c r="C5" s="2"/>
      <c r="D5" s="2"/>
      <c r="E5" s="2"/>
      <c r="F5" s="2"/>
      <c r="G5" s="2"/>
      <c r="H5" s="2"/>
    </row>
    <row r="6" spans="1:8">
      <c r="A6" s="2">
        <v>5</v>
      </c>
      <c r="B6" s="2"/>
      <c r="C6" s="2"/>
      <c r="D6" s="2"/>
      <c r="E6" s="2"/>
      <c r="F6" s="2"/>
      <c r="G6" s="2"/>
      <c r="H6" s="2"/>
    </row>
    <row r="7" spans="1:8">
      <c r="A7" s="2">
        <v>6</v>
      </c>
      <c r="B7" s="2"/>
      <c r="C7" s="2"/>
      <c r="D7" s="2"/>
      <c r="E7" s="2"/>
      <c r="F7" s="2"/>
      <c r="G7" s="2"/>
      <c r="H7" s="2"/>
    </row>
    <row r="8" spans="1:8">
      <c r="A8" s="2">
        <v>7</v>
      </c>
      <c r="B8" s="2"/>
      <c r="C8" s="2"/>
      <c r="D8" s="2"/>
      <c r="E8" s="2"/>
      <c r="F8" s="2"/>
      <c r="G8" s="2"/>
      <c r="H8" s="2"/>
    </row>
    <row r="9" spans="1:8">
      <c r="A9" s="2">
        <v>8</v>
      </c>
      <c r="B9" s="2"/>
      <c r="C9" s="2"/>
      <c r="D9" s="2"/>
      <c r="E9" s="2"/>
      <c r="F9" s="2"/>
      <c r="G9" s="2"/>
      <c r="H9" s="2"/>
    </row>
    <row r="10" spans="1:8">
      <c r="A10" s="2">
        <v>9</v>
      </c>
      <c r="B10" s="2"/>
      <c r="C10" s="2"/>
      <c r="D10" s="2"/>
      <c r="E10" s="2"/>
      <c r="F10" s="2"/>
      <c r="G10" s="2"/>
      <c r="H10" s="2"/>
    </row>
    <row r="11" spans="1:8">
      <c r="A11" s="2">
        <v>10</v>
      </c>
      <c r="B11" s="2"/>
      <c r="C11" s="2"/>
      <c r="D11" s="2"/>
      <c r="E11" s="2"/>
      <c r="F11" s="2"/>
      <c r="G11" s="2"/>
      <c r="H11" s="2"/>
    </row>
    <row r="12" spans="1:8">
      <c r="A12" s="2">
        <v>11</v>
      </c>
      <c r="B12" s="2"/>
      <c r="C12" s="2"/>
      <c r="D12" s="2"/>
      <c r="E12" s="2"/>
      <c r="F12" s="2"/>
      <c r="G12" s="2"/>
      <c r="H12" s="2"/>
    </row>
    <row r="13" spans="1:8">
      <c r="A13" s="2">
        <v>12</v>
      </c>
      <c r="B13" s="2"/>
      <c r="C13" s="2"/>
      <c r="D13" s="2"/>
      <c r="E13" s="2"/>
      <c r="F13" s="2"/>
      <c r="G13" s="2"/>
      <c r="H13" s="2"/>
    </row>
    <row r="14" spans="1:8">
      <c r="A14" s="2">
        <v>13</v>
      </c>
      <c r="B14" s="2"/>
      <c r="C14" s="2"/>
      <c r="D14" s="2"/>
      <c r="E14" s="2"/>
      <c r="F14" s="2"/>
      <c r="G14" s="2"/>
      <c r="H14" s="2"/>
    </row>
    <row r="15" spans="1:8">
      <c r="A15" s="2">
        <v>14</v>
      </c>
      <c r="B15" s="2"/>
      <c r="C15" s="2"/>
      <c r="D15" s="2"/>
      <c r="E15" s="2"/>
      <c r="F15" s="2"/>
      <c r="G15" s="2"/>
      <c r="H15" s="2"/>
    </row>
    <row r="16" spans="1:8">
      <c r="A16" s="2">
        <v>15</v>
      </c>
      <c r="B16" s="2"/>
      <c r="C16" s="2"/>
      <c r="D16" s="2"/>
      <c r="E16" s="2"/>
      <c r="F16" s="2"/>
      <c r="G16" s="2"/>
      <c r="H16" s="2"/>
    </row>
    <row r="17" spans="1:8">
      <c r="A17" s="2">
        <v>16</v>
      </c>
      <c r="B17" s="2"/>
      <c r="C17" s="2"/>
      <c r="D17" s="2"/>
      <c r="E17" s="2"/>
      <c r="F17" s="2"/>
      <c r="G17" s="2"/>
      <c r="H17" s="2"/>
    </row>
    <row r="18" spans="1:8">
      <c r="A18" s="2">
        <v>17</v>
      </c>
      <c r="B18" s="2"/>
      <c r="C18" s="2"/>
      <c r="D18" s="2"/>
      <c r="E18" s="2"/>
      <c r="F18" s="2"/>
      <c r="G18" s="2"/>
      <c r="H18" s="2"/>
    </row>
    <row r="19" spans="1:8">
      <c r="A19" s="2">
        <v>18</v>
      </c>
      <c r="B19" s="2"/>
      <c r="C19" s="2"/>
      <c r="D19" s="2"/>
      <c r="E19" s="2"/>
      <c r="F19" s="2"/>
      <c r="G19" s="2"/>
      <c r="H19" s="2"/>
    </row>
    <row r="20" spans="1:8">
      <c r="A20" s="2">
        <v>19</v>
      </c>
      <c r="B20" s="2"/>
      <c r="C20" s="2"/>
      <c r="D20" s="2"/>
      <c r="E20" s="2"/>
      <c r="F20" s="2"/>
      <c r="G20" s="2"/>
      <c r="H20" s="2"/>
    </row>
    <row r="21" spans="1:8">
      <c r="A21" s="2">
        <v>20</v>
      </c>
      <c r="B21" s="2"/>
      <c r="C21" s="2"/>
      <c r="D21" s="2"/>
      <c r="E21" s="2"/>
      <c r="F21" s="2"/>
      <c r="G21" s="2"/>
      <c r="H21" s="2"/>
    </row>
    <row r="22" spans="1:8">
      <c r="A22" s="2">
        <v>21</v>
      </c>
      <c r="B22" s="2"/>
      <c r="C22" s="2"/>
      <c r="D22" s="2"/>
      <c r="E22" s="2"/>
      <c r="F22" s="2"/>
      <c r="G22" s="2"/>
      <c r="H22" s="2"/>
    </row>
    <row r="23" spans="1:8">
      <c r="A23" s="2">
        <v>22</v>
      </c>
      <c r="B23" s="2"/>
      <c r="C23" s="2"/>
      <c r="D23" s="2"/>
      <c r="E23" s="2"/>
      <c r="F23" s="2"/>
      <c r="G23" s="2"/>
      <c r="H23" s="2"/>
    </row>
    <row r="24" spans="1:8">
      <c r="A24" s="2">
        <v>23</v>
      </c>
      <c r="B24" s="2"/>
      <c r="C24" s="2"/>
      <c r="D24" s="2"/>
      <c r="E24" s="2"/>
      <c r="F24" s="2"/>
      <c r="G24" s="2"/>
      <c r="H24" s="2"/>
    </row>
    <row r="25" spans="1:8">
      <c r="A25" s="2">
        <v>24</v>
      </c>
      <c r="B25" s="2"/>
      <c r="C25" s="2"/>
      <c r="D25" s="2"/>
      <c r="E25" s="2"/>
      <c r="F25" s="2"/>
      <c r="G25" s="2"/>
      <c r="H25" s="2"/>
    </row>
    <row r="26" spans="1:8">
      <c r="A26" s="2">
        <v>25</v>
      </c>
      <c r="B26" s="2"/>
      <c r="C26" s="2"/>
      <c r="D26" s="2"/>
      <c r="E26" s="2"/>
      <c r="F26" s="2"/>
      <c r="G26" s="2"/>
      <c r="H26" s="2"/>
    </row>
    <row r="27" spans="1:8">
      <c r="A27" s="2">
        <v>26</v>
      </c>
      <c r="B27" s="2"/>
      <c r="C27" s="2"/>
      <c r="D27" s="2"/>
      <c r="E27" s="2"/>
      <c r="F27" s="2"/>
      <c r="G27" s="2"/>
      <c r="H27" s="2"/>
    </row>
    <row r="28" spans="1:8">
      <c r="A28" s="2">
        <v>27</v>
      </c>
      <c r="B28" s="2"/>
      <c r="C28" s="2"/>
      <c r="D28" s="2"/>
      <c r="E28" s="2"/>
      <c r="F28" s="2"/>
      <c r="G28" s="2"/>
      <c r="H28" s="2"/>
    </row>
    <row r="29" spans="1:8">
      <c r="A29" s="2">
        <v>28</v>
      </c>
      <c r="B29" s="2"/>
      <c r="C29" s="2"/>
      <c r="D29" s="2"/>
      <c r="E29" s="2"/>
      <c r="F29" s="2"/>
      <c r="G29" s="2"/>
      <c r="H29" s="2"/>
    </row>
    <row r="30" spans="1:8">
      <c r="A30" s="2">
        <v>29</v>
      </c>
      <c r="B30" s="2"/>
      <c r="C30" s="2"/>
      <c r="D30" s="2"/>
      <c r="E30" s="2"/>
      <c r="F30" s="2"/>
      <c r="G30" s="2"/>
      <c r="H30" s="2"/>
    </row>
    <row r="31" spans="1:8">
      <c r="A31" s="2">
        <v>30</v>
      </c>
      <c r="B31" s="2"/>
      <c r="C31" s="2"/>
      <c r="D31" s="2"/>
      <c r="E31" s="2"/>
      <c r="F31" s="2"/>
      <c r="G31" s="2"/>
      <c r="H31" s="2"/>
    </row>
    <row r="32" spans="1:8">
      <c r="A32" s="2">
        <v>31</v>
      </c>
      <c r="B32" s="2"/>
      <c r="C32" s="2"/>
      <c r="D32" s="2"/>
      <c r="E32" s="2"/>
      <c r="F32" s="2"/>
      <c r="G32" s="2"/>
      <c r="H32" s="2"/>
    </row>
    <row r="33" spans="1:8">
      <c r="A33" s="2">
        <v>32</v>
      </c>
      <c r="B33" s="2"/>
      <c r="C33" s="2"/>
      <c r="D33" s="2"/>
      <c r="E33" s="2"/>
      <c r="F33" s="2"/>
      <c r="G33" s="2"/>
      <c r="H33" s="2"/>
    </row>
    <row r="34" spans="1:8">
      <c r="A34" s="2">
        <v>33</v>
      </c>
      <c r="B34" s="2"/>
      <c r="C34" s="2"/>
      <c r="D34" s="2"/>
      <c r="E34" s="2"/>
      <c r="F34" s="2"/>
      <c r="G34" s="2"/>
      <c r="H34" s="2"/>
    </row>
    <row r="35" spans="1:8">
      <c r="A35" s="2">
        <v>34</v>
      </c>
      <c r="B35" s="2"/>
      <c r="C35" s="2"/>
      <c r="D35" s="2"/>
      <c r="E35" s="2"/>
      <c r="F35" s="2"/>
      <c r="G35" s="2"/>
      <c r="H35" s="2"/>
    </row>
    <row r="36" spans="1:8">
      <c r="A36" s="2">
        <v>35</v>
      </c>
      <c r="B36" s="2"/>
      <c r="C36" s="2"/>
      <c r="D36" s="2"/>
      <c r="E36" s="2"/>
      <c r="F36" s="2"/>
      <c r="G36" s="2"/>
      <c r="H36" s="2"/>
    </row>
    <row r="37" spans="1:8">
      <c r="A37" s="2">
        <v>36</v>
      </c>
      <c r="B37" s="2"/>
      <c r="C37" s="2"/>
      <c r="D37" s="2"/>
      <c r="E37" s="2"/>
      <c r="F37" s="2"/>
      <c r="G37" s="2"/>
      <c r="H37" s="2"/>
    </row>
    <row r="38" spans="1:8">
      <c r="A38" s="2">
        <v>37</v>
      </c>
      <c r="B38" s="2"/>
      <c r="C38" s="2"/>
      <c r="D38" s="2"/>
      <c r="E38" s="2"/>
      <c r="F38" s="2"/>
      <c r="G38" s="2"/>
      <c r="H38" s="2"/>
    </row>
    <row r="39" spans="1:8">
      <c r="A39" s="2">
        <v>38</v>
      </c>
      <c r="B39" s="2"/>
      <c r="C39" s="2"/>
      <c r="D39" s="2"/>
      <c r="E39" s="2"/>
      <c r="F39" s="2"/>
      <c r="G39" s="2"/>
      <c r="H39" s="2"/>
    </row>
    <row r="40" spans="1:8">
      <c r="A40" s="2">
        <v>39</v>
      </c>
      <c r="B40" s="2"/>
      <c r="C40" s="2"/>
      <c r="D40" s="2"/>
      <c r="E40" s="2"/>
      <c r="F40" s="2"/>
      <c r="G40" s="2"/>
      <c r="H40" s="2"/>
    </row>
    <row r="41" spans="1:8">
      <c r="A41" s="2">
        <v>40</v>
      </c>
      <c r="B41" s="2"/>
      <c r="C41" s="2"/>
      <c r="D41" s="2"/>
      <c r="E41" s="2"/>
      <c r="F41" s="2"/>
      <c r="G41" s="2"/>
      <c r="H41" s="2"/>
    </row>
    <row r="42" spans="1:8">
      <c r="A42" s="2">
        <v>41</v>
      </c>
      <c r="B42" s="2"/>
      <c r="C42" s="2"/>
      <c r="D42" s="2"/>
      <c r="E42" s="2"/>
      <c r="F42" s="2"/>
      <c r="G42" s="2"/>
      <c r="H42" s="2"/>
    </row>
    <row r="43" spans="1:8">
      <c r="A43" s="2">
        <v>42</v>
      </c>
      <c r="B43" s="2"/>
      <c r="C43" s="2"/>
      <c r="D43" s="2"/>
      <c r="E43" s="2"/>
      <c r="F43" s="2"/>
      <c r="G43" s="2"/>
      <c r="H43" s="2"/>
    </row>
    <row r="44" spans="1:8">
      <c r="A44" s="2">
        <v>43</v>
      </c>
      <c r="B44" s="2"/>
      <c r="C44" s="2"/>
      <c r="D44" s="2"/>
      <c r="E44" s="2"/>
      <c r="F44" s="2"/>
      <c r="G44" s="2"/>
      <c r="H44" s="2"/>
    </row>
    <row r="45" spans="1:8">
      <c r="A45" s="2">
        <v>44</v>
      </c>
      <c r="B45" s="2"/>
      <c r="C45" s="2"/>
      <c r="D45" s="2"/>
      <c r="E45" s="2"/>
      <c r="F45" s="2"/>
      <c r="G45" s="2"/>
      <c r="H45" s="2"/>
    </row>
    <row r="46" spans="1:8">
      <c r="A46" s="2">
        <v>45</v>
      </c>
      <c r="B46" s="2"/>
      <c r="C46" s="2"/>
      <c r="D46" s="2"/>
      <c r="E46" s="2"/>
      <c r="F46" s="2"/>
      <c r="G46" s="2"/>
      <c r="H46" s="2"/>
    </row>
    <row r="47" spans="1:8">
      <c r="A47" s="2">
        <v>46</v>
      </c>
      <c r="B47" s="2"/>
      <c r="C47" s="2"/>
      <c r="D47" s="2"/>
      <c r="E47" s="2"/>
      <c r="F47" s="2"/>
      <c r="G47" s="2"/>
      <c r="H47" s="2"/>
    </row>
    <row r="48" spans="1:8">
      <c r="A48" s="2">
        <v>47</v>
      </c>
      <c r="B48" s="2"/>
      <c r="C48" s="2"/>
      <c r="D48" s="2"/>
      <c r="E48" s="2"/>
      <c r="F48" s="2"/>
      <c r="G48" s="2"/>
      <c r="H48" s="2"/>
    </row>
    <row r="49" spans="1:8">
      <c r="A49" s="2">
        <v>48</v>
      </c>
      <c r="B49" s="2"/>
      <c r="C49" s="2"/>
      <c r="D49" s="2"/>
      <c r="E49" s="2"/>
      <c r="F49" s="2"/>
      <c r="G49" s="2"/>
      <c r="H49" s="2"/>
    </row>
    <row r="50" spans="1:8">
      <c r="A50" s="2">
        <v>49</v>
      </c>
      <c r="B50" s="2"/>
      <c r="C50" s="2"/>
      <c r="D50" s="2"/>
      <c r="E50" s="2"/>
      <c r="F50" s="2"/>
      <c r="G50" s="2"/>
      <c r="H50" s="2"/>
    </row>
    <row r="51" spans="1:8">
      <c r="A51" s="2">
        <v>50</v>
      </c>
      <c r="B51" s="2"/>
      <c r="C51" s="2"/>
      <c r="D51" s="2"/>
      <c r="E51" s="2"/>
      <c r="F51" s="2"/>
      <c r="G51" s="2"/>
      <c r="H51" s="2"/>
    </row>
    <row r="52" spans="1:8">
      <c r="A52" s="2">
        <v>51</v>
      </c>
      <c r="B52" s="2"/>
      <c r="C52" s="2"/>
      <c r="D52" s="2"/>
      <c r="E52" s="2"/>
      <c r="F52" s="2"/>
      <c r="G52" s="2"/>
      <c r="H52" s="2"/>
    </row>
    <row r="53" spans="1:8">
      <c r="A53" s="2">
        <v>52</v>
      </c>
      <c r="B53" s="2"/>
      <c r="C53" s="2"/>
      <c r="D53" s="2"/>
      <c r="E53" s="2"/>
      <c r="F53" s="2"/>
      <c r="G53" s="2"/>
      <c r="H53" s="2"/>
    </row>
    <row r="54" spans="1:8">
      <c r="A54" s="2">
        <v>53</v>
      </c>
      <c r="B54" s="2"/>
      <c r="C54" s="2"/>
      <c r="D54" s="2"/>
      <c r="E54" s="2"/>
      <c r="F54" s="2"/>
      <c r="G54" s="2"/>
      <c r="H54" s="2"/>
    </row>
    <row r="55" spans="1:8">
      <c r="A55" s="2">
        <v>54</v>
      </c>
      <c r="B55" s="2"/>
      <c r="C55" s="2"/>
      <c r="D55" s="2"/>
      <c r="E55" s="2"/>
      <c r="F55" s="2"/>
      <c r="G55" s="2"/>
      <c r="H55" s="2"/>
    </row>
    <row r="56" spans="1:8">
      <c r="A56" s="2">
        <v>55</v>
      </c>
      <c r="B56" s="2"/>
      <c r="C56" s="2"/>
      <c r="D56" s="2"/>
      <c r="E56" s="2"/>
      <c r="F56" s="2"/>
      <c r="G56" s="2"/>
      <c r="H56" s="2"/>
    </row>
    <row r="57" spans="1:8">
      <c r="A57" s="2">
        <v>56</v>
      </c>
      <c r="B57" s="2"/>
      <c r="C57" s="2"/>
      <c r="D57" s="2"/>
      <c r="E57" s="2"/>
      <c r="F57" s="2"/>
      <c r="G57" s="2"/>
      <c r="H57" s="2"/>
    </row>
    <row r="58" spans="1:8">
      <c r="A58" s="2">
        <v>57</v>
      </c>
      <c r="B58" s="2"/>
      <c r="C58" s="2"/>
      <c r="D58" s="2"/>
      <c r="E58" s="2"/>
      <c r="F58" s="2"/>
      <c r="G58" s="2"/>
      <c r="H58" s="2"/>
    </row>
    <row r="59" spans="1:8">
      <c r="A59" s="2">
        <v>58</v>
      </c>
      <c r="B59" s="2"/>
      <c r="C59" s="2"/>
      <c r="D59" s="2"/>
      <c r="E59" s="2"/>
      <c r="F59" s="2"/>
      <c r="G59" s="2"/>
      <c r="H59" s="2"/>
    </row>
    <row r="60" spans="1:8">
      <c r="A60" s="2">
        <v>59</v>
      </c>
      <c r="B60" s="2"/>
      <c r="C60" s="2"/>
      <c r="D60" s="2"/>
      <c r="E60" s="2"/>
      <c r="F60" s="2"/>
      <c r="G60" s="2"/>
      <c r="H60" s="2"/>
    </row>
    <row r="61" spans="1:8">
      <c r="A61" s="2">
        <v>60</v>
      </c>
      <c r="B61" s="2"/>
      <c r="C61" s="2"/>
      <c r="D61" s="2"/>
      <c r="E61" s="2"/>
      <c r="F61" s="2"/>
      <c r="G61" s="2"/>
      <c r="H61" s="2"/>
    </row>
    <row r="62" spans="1:8">
      <c r="A62" s="2">
        <v>61</v>
      </c>
      <c r="B62" s="2"/>
      <c r="C62" s="2"/>
      <c r="D62" s="2"/>
      <c r="E62" s="2"/>
      <c r="F62" s="2"/>
      <c r="G62" s="2"/>
      <c r="H62" s="2"/>
    </row>
    <row r="63" spans="1:8">
      <c r="A63" s="2">
        <v>62</v>
      </c>
      <c r="B63" s="2"/>
      <c r="C63" s="2"/>
      <c r="D63" s="2"/>
      <c r="E63" s="2"/>
      <c r="F63" s="2"/>
      <c r="G63" s="2"/>
      <c r="H63" s="2"/>
    </row>
    <row r="64" spans="1:8">
      <c r="A64" s="2">
        <v>63</v>
      </c>
      <c r="B64" s="2"/>
      <c r="C64" s="2"/>
      <c r="D64" s="2"/>
      <c r="E64" s="2"/>
      <c r="F64" s="2"/>
      <c r="G64" s="2"/>
      <c r="H64" s="2"/>
    </row>
    <row r="65" spans="1:8">
      <c r="A65" s="2">
        <v>64</v>
      </c>
      <c r="B65" s="2"/>
      <c r="C65" s="2"/>
      <c r="D65" s="2"/>
      <c r="E65" s="2"/>
      <c r="F65" s="2"/>
      <c r="G65" s="2"/>
      <c r="H65" s="2"/>
    </row>
    <row r="66" spans="1:8">
      <c r="A66" s="2">
        <v>65</v>
      </c>
      <c r="B66" s="2"/>
      <c r="C66" s="2"/>
      <c r="D66" s="2"/>
      <c r="E66" s="2"/>
      <c r="F66" s="2"/>
      <c r="G66" s="2"/>
      <c r="H66" s="2"/>
    </row>
    <row r="67" spans="1:8">
      <c r="A67" s="2">
        <v>66</v>
      </c>
      <c r="B67" s="2"/>
      <c r="C67" s="2"/>
      <c r="D67" s="2"/>
      <c r="E67" s="2"/>
      <c r="F67" s="2"/>
      <c r="G67" s="2"/>
      <c r="H67" s="2"/>
    </row>
    <row r="68" spans="1:8">
      <c r="A68" s="2">
        <v>67</v>
      </c>
      <c r="B68" s="2"/>
      <c r="C68" s="2"/>
      <c r="D68" s="2"/>
      <c r="E68" s="2"/>
      <c r="F68" s="2"/>
      <c r="G68" s="2"/>
      <c r="H68" s="2"/>
    </row>
    <row r="69" spans="1:8">
      <c r="A69" s="2">
        <v>68</v>
      </c>
      <c r="B69" s="2"/>
      <c r="C69" s="2"/>
      <c r="D69" s="2"/>
      <c r="E69" s="2"/>
      <c r="F69" s="2"/>
      <c r="G69" s="2"/>
      <c r="H69" s="2"/>
    </row>
    <row r="70" spans="1:8">
      <c r="A70" s="2">
        <v>69</v>
      </c>
      <c r="B70" s="2"/>
      <c r="C70" s="2"/>
      <c r="D70" s="2"/>
      <c r="E70" s="2"/>
      <c r="F70" s="2"/>
      <c r="G70" s="2"/>
      <c r="H70" s="2"/>
    </row>
    <row r="71" spans="1:8">
      <c r="A71" s="2">
        <v>70</v>
      </c>
      <c r="B71" s="2"/>
      <c r="C71" s="2"/>
      <c r="D71" s="2"/>
      <c r="E71" s="2"/>
      <c r="F71" s="2"/>
      <c r="G71" s="2"/>
      <c r="H71" s="2"/>
    </row>
    <row r="72" spans="1:8">
      <c r="A72" s="2">
        <v>71</v>
      </c>
      <c r="B72" s="2"/>
      <c r="C72" s="2"/>
      <c r="D72" s="2"/>
      <c r="E72" s="2"/>
      <c r="F72" s="2"/>
      <c r="G72" s="2"/>
      <c r="H72" s="2"/>
    </row>
    <row r="73" spans="1:8">
      <c r="A73" s="2">
        <v>72</v>
      </c>
      <c r="B73" s="2"/>
      <c r="C73" s="2"/>
      <c r="D73" s="2"/>
      <c r="E73" s="2"/>
      <c r="F73" s="2"/>
      <c r="G73" s="2"/>
      <c r="H73" s="2"/>
    </row>
    <row r="74" spans="1:8">
      <c r="A74" s="2">
        <v>73</v>
      </c>
      <c r="B74" s="2"/>
      <c r="C74" s="2"/>
      <c r="D74" s="2"/>
      <c r="E74" s="2"/>
      <c r="F74" s="2"/>
      <c r="G74" s="2"/>
      <c r="H74" s="2"/>
    </row>
    <row r="75" spans="1:8">
      <c r="A75" s="2">
        <v>74</v>
      </c>
      <c r="B75" s="2"/>
      <c r="C75" s="2"/>
      <c r="D75" s="2"/>
      <c r="E75" s="2"/>
      <c r="F75" s="2"/>
      <c r="G75" s="2"/>
      <c r="H75" s="2"/>
    </row>
    <row r="76" spans="1:8">
      <c r="A76" s="2">
        <v>75</v>
      </c>
      <c r="B76" s="2"/>
      <c r="C76" s="2"/>
      <c r="D76" s="2"/>
      <c r="E76" s="2"/>
      <c r="F76" s="2"/>
      <c r="G76" s="2"/>
      <c r="H76" s="2"/>
    </row>
    <row r="77" spans="1:8">
      <c r="A77" s="2">
        <v>76</v>
      </c>
      <c r="B77" s="2"/>
      <c r="C77" s="2"/>
      <c r="D77" s="2"/>
      <c r="E77" s="2"/>
      <c r="F77" s="2"/>
      <c r="G77" s="2"/>
      <c r="H77" s="2"/>
    </row>
    <row r="78" spans="1:8">
      <c r="A78" s="2">
        <v>77</v>
      </c>
      <c r="B78" s="2"/>
      <c r="C78" s="2"/>
      <c r="D78" s="2"/>
      <c r="E78" s="2"/>
      <c r="F78" s="2"/>
      <c r="G78" s="2"/>
      <c r="H78" s="2"/>
    </row>
    <row r="79" spans="1:8">
      <c r="A79" s="2">
        <v>78</v>
      </c>
      <c r="B79" s="2"/>
      <c r="C79" s="2"/>
      <c r="D79" s="2"/>
      <c r="E79" s="2"/>
      <c r="F79" s="2"/>
      <c r="G79" s="2"/>
      <c r="H79" s="2"/>
    </row>
    <row r="80" spans="1:8">
      <c r="A80" s="2">
        <v>79</v>
      </c>
      <c r="B80" s="2"/>
      <c r="C80" s="2"/>
      <c r="D80" s="2"/>
      <c r="E80" s="2"/>
      <c r="F80" s="2"/>
      <c r="G80" s="2"/>
      <c r="H80" s="2"/>
    </row>
    <row r="81" spans="1:8">
      <c r="A81" s="2">
        <v>80</v>
      </c>
      <c r="B81" s="2"/>
      <c r="C81" s="2"/>
      <c r="D81" s="2"/>
      <c r="E81" s="2"/>
      <c r="F81" s="2"/>
      <c r="G81" s="2"/>
      <c r="H81" s="2"/>
    </row>
    <row r="82" spans="1:8">
      <c r="A82" s="2">
        <v>81</v>
      </c>
      <c r="B82" s="2"/>
      <c r="C82" s="2"/>
      <c r="D82" s="2"/>
      <c r="E82" s="2"/>
      <c r="F82" s="2"/>
      <c r="G82" s="2"/>
      <c r="H82" s="2"/>
    </row>
    <row r="83" spans="1:8">
      <c r="A83" s="2">
        <v>82</v>
      </c>
      <c r="B83" s="2"/>
      <c r="C83" s="2"/>
      <c r="D83" s="2"/>
      <c r="E83" s="2"/>
      <c r="F83" s="2"/>
      <c r="G83" s="2"/>
      <c r="H83" s="2"/>
    </row>
    <row r="84" spans="1:8">
      <c r="A84" s="2">
        <v>83</v>
      </c>
      <c r="B84" s="2"/>
      <c r="C84" s="2"/>
      <c r="D84" s="2"/>
      <c r="E84" s="2"/>
      <c r="F84" s="2"/>
      <c r="G84" s="2"/>
      <c r="H84" s="2"/>
    </row>
    <row r="85" spans="1:8">
      <c r="A85" s="2">
        <v>84</v>
      </c>
      <c r="B85" s="2"/>
      <c r="C85" s="2"/>
      <c r="D85" s="2"/>
      <c r="E85" s="2"/>
      <c r="F85" s="2"/>
      <c r="G85" s="2"/>
      <c r="H85" s="2"/>
    </row>
    <row r="86" spans="1:8">
      <c r="A86" s="2">
        <v>85</v>
      </c>
      <c r="B86" s="2"/>
      <c r="C86" s="2"/>
      <c r="D86" s="2"/>
      <c r="E86" s="2"/>
      <c r="F86" s="2"/>
      <c r="G86" s="2"/>
      <c r="H86" s="2"/>
    </row>
    <row r="87" spans="1:8">
      <c r="A87" s="2">
        <v>86</v>
      </c>
      <c r="B87" s="2"/>
      <c r="C87" s="2"/>
      <c r="D87" s="2"/>
      <c r="E87" s="2"/>
      <c r="F87" s="2"/>
      <c r="G87" s="2"/>
      <c r="H87" s="2"/>
    </row>
    <row r="88" spans="1:8">
      <c r="A88" s="2">
        <v>87</v>
      </c>
      <c r="B88" s="2"/>
      <c r="C88" s="2"/>
      <c r="D88" s="2"/>
      <c r="E88" s="2"/>
      <c r="F88" s="2"/>
      <c r="G88" s="2"/>
      <c r="H88" s="2"/>
    </row>
    <row r="89" spans="1:8">
      <c r="A89" s="2">
        <v>88</v>
      </c>
      <c r="B89" s="2"/>
      <c r="C89" s="2"/>
      <c r="D89" s="2"/>
      <c r="E89" s="2"/>
      <c r="F89" s="2"/>
      <c r="G89" s="2"/>
      <c r="H89" s="2"/>
    </row>
    <row r="90" spans="1:8">
      <c r="A90" s="2">
        <v>89</v>
      </c>
      <c r="B90" s="2"/>
      <c r="C90" s="2"/>
      <c r="D90" s="2"/>
      <c r="E90" s="2"/>
      <c r="F90" s="2"/>
      <c r="G90" s="2"/>
      <c r="H90" s="2"/>
    </row>
    <row r="91" spans="1:8">
      <c r="A91" s="2">
        <v>90</v>
      </c>
      <c r="B91" s="2"/>
      <c r="C91" s="2"/>
      <c r="D91" s="2"/>
      <c r="E91" s="2"/>
      <c r="F91" s="2"/>
      <c r="G91" s="2"/>
      <c r="H91" s="2"/>
    </row>
    <row r="92" spans="1:8">
      <c r="A92" s="2">
        <v>91</v>
      </c>
      <c r="B92" s="2"/>
      <c r="C92" s="2"/>
      <c r="D92" s="2"/>
      <c r="E92" s="2"/>
      <c r="F92" s="2"/>
      <c r="G92" s="2"/>
      <c r="H92" s="2"/>
    </row>
    <row r="93" spans="1:8">
      <c r="A93" s="2">
        <v>92</v>
      </c>
      <c r="B93" s="2"/>
      <c r="C93" s="2"/>
      <c r="D93" s="2"/>
      <c r="E93" s="2"/>
      <c r="F93" s="2"/>
      <c r="G93" s="2"/>
      <c r="H93" s="2"/>
    </row>
    <row r="94" spans="1:8">
      <c r="A94" s="2">
        <v>93</v>
      </c>
      <c r="B94" s="2"/>
      <c r="C94" s="2"/>
      <c r="D94" s="2"/>
      <c r="E94" s="2"/>
      <c r="F94" s="2"/>
      <c r="G94" s="2"/>
      <c r="H94" s="2"/>
    </row>
    <row r="95" spans="1:8">
      <c r="A95" s="2">
        <v>94</v>
      </c>
      <c r="B95" s="2"/>
      <c r="C95" s="2"/>
      <c r="D95" s="2"/>
      <c r="E95" s="2"/>
      <c r="F95" s="2"/>
      <c r="G95" s="2"/>
      <c r="H95" s="2"/>
    </row>
    <row r="96" spans="1:8">
      <c r="A96" s="2">
        <v>95</v>
      </c>
      <c r="B96" s="2"/>
      <c r="C96" s="2"/>
      <c r="D96" s="2"/>
      <c r="E96" s="2"/>
      <c r="F96" s="2"/>
      <c r="G96" s="2"/>
      <c r="H96" s="2"/>
    </row>
    <row r="97" spans="1:8">
      <c r="A97" s="2">
        <v>96</v>
      </c>
      <c r="B97" s="2"/>
      <c r="C97" s="2"/>
      <c r="D97" s="2"/>
      <c r="E97" s="2"/>
      <c r="F97" s="2"/>
      <c r="G97" s="2"/>
      <c r="H97" s="2"/>
    </row>
    <row r="98" spans="1:8">
      <c r="A98" s="2">
        <v>97</v>
      </c>
      <c r="B98" s="2"/>
      <c r="C98" s="2"/>
      <c r="D98" s="2"/>
      <c r="E98" s="2"/>
      <c r="F98" s="2"/>
      <c r="G98" s="2"/>
      <c r="H98" s="2"/>
    </row>
    <row r="99" spans="1:8">
      <c r="A99" s="2">
        <v>98</v>
      </c>
      <c r="B99" s="2"/>
      <c r="C99" s="2"/>
      <c r="D99" s="2"/>
      <c r="E99" s="2"/>
      <c r="F99" s="2"/>
      <c r="G99" s="2"/>
      <c r="H99" s="2"/>
    </row>
    <row r="100" spans="1:8">
      <c r="A100" s="2">
        <v>99</v>
      </c>
      <c r="B100" s="2"/>
      <c r="C100" s="2"/>
      <c r="D100" s="2"/>
      <c r="E100" s="2"/>
      <c r="F100" s="2"/>
      <c r="G100" s="2"/>
      <c r="H100" s="2"/>
    </row>
    <row r="101" spans="1:8">
      <c r="A101" s="2">
        <v>100</v>
      </c>
      <c r="B101" s="2"/>
      <c r="C101" s="2"/>
      <c r="D101" s="2"/>
      <c r="E101" s="2"/>
      <c r="F101" s="2"/>
      <c r="G101" s="2"/>
      <c r="H101" s="2"/>
    </row>
  </sheetData>
  <hyperlinks>
    <hyperlink ref="G2" r:id="rId1" xr:uid="{987F4626-DB70-4324-B34D-525BA9B922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K102"/>
  <sheetViews>
    <sheetView tabSelected="1" view="pageBreakPreview" zoomScale="60" zoomScaleNormal="100" workbookViewId="0">
      <selection activeCell="N20" sqref="N20"/>
    </sheetView>
  </sheetViews>
  <sheetFormatPr baseColWidth="10" defaultColWidth="9" defaultRowHeight="14.25"/>
  <cols>
    <col min="1" max="7" width="11" style="14" customWidth="1"/>
    <col min="8" max="8" width="12.75" style="14" customWidth="1"/>
    <col min="10" max="11" width="22" customWidth="1"/>
  </cols>
  <sheetData>
    <row r="3" spans="1:11" ht="16.7" customHeight="1">
      <c r="A3" s="12" t="s">
        <v>8</v>
      </c>
      <c r="B3" s="12"/>
      <c r="C3" s="12"/>
      <c r="D3" s="12"/>
      <c r="E3" s="12"/>
      <c r="F3" s="12"/>
      <c r="G3" s="12"/>
      <c r="H3" s="12"/>
      <c r="J3" t="s">
        <v>9</v>
      </c>
      <c r="K3" t="s">
        <v>10</v>
      </c>
    </row>
    <row r="4" spans="1:11" ht="15" hidden="1" customHeight="1">
      <c r="A4" s="13" t="s">
        <v>11</v>
      </c>
      <c r="B4" s="3">
        <v>1</v>
      </c>
      <c r="J4" t="s">
        <v>12</v>
      </c>
      <c r="K4" t="str">
        <f>IFERROR(INDEX(PROVEEDORES!$B$2:$B$101,MATCH($B$4,PROVEEDORES!$A$2:$A$101,0)),"")</f>
        <v xml:space="preserve">NATHALY VARELA </v>
      </c>
    </row>
    <row r="5" spans="1:11">
      <c r="J5" t="s">
        <v>2</v>
      </c>
      <c r="K5" t="str">
        <f>IFERROR(INDEX(PROVEEDORES!$C$2:$C$101,MATCH($B$4,PROVEEDORES!$A$2:$A$101,0)),"")</f>
        <v>0927255406001</v>
      </c>
    </row>
    <row r="6" spans="1:11" ht="15" customHeight="1">
      <c r="A6" s="15" t="s">
        <v>13</v>
      </c>
      <c r="B6" s="15"/>
      <c r="C6" s="15"/>
      <c r="D6" s="15"/>
      <c r="E6" s="15"/>
      <c r="F6" s="15"/>
      <c r="G6" s="15"/>
      <c r="H6" s="15"/>
      <c r="J6" t="s">
        <v>14</v>
      </c>
      <c r="K6" t="str">
        <f>IFERROR(INDEX(PROVEEDORES!$D$2:$D$101,MATCH($B$4,PROVEEDORES!$A$2:$A$101,0)),"")</f>
        <v xml:space="preserve">NATHALY VARELA </v>
      </c>
    </row>
    <row r="7" spans="1:11" ht="57" customHeight="1">
      <c r="A7" s="15" t="s">
        <v>66</v>
      </c>
      <c r="B7" s="15"/>
      <c r="C7" s="15"/>
      <c r="D7" s="15"/>
      <c r="E7" s="15"/>
      <c r="F7" s="15"/>
      <c r="G7" s="15"/>
      <c r="H7" s="15"/>
      <c r="J7" t="s">
        <v>15</v>
      </c>
      <c r="K7" t="str">
        <f>IFERROR(INDEX(PROVEEDORES!$E$2:$E$101,MATCH($B$4,PROVEEDORES!$A$2:$A$101,0)),"")</f>
        <v xml:space="preserve">23 AVA Y FRANCISCO SEGURA </v>
      </c>
    </row>
    <row r="8" spans="1:11" ht="52.5" customHeight="1">
      <c r="A8" s="15" t="str">
        <f>IF($K$4="","B. Seleccione un N° de proveedor en B2.","B. La compañía "&amp;$K$4&amp;", con RUC "&amp;$K$5&amp;", debida y legalmente representada por "&amp;$K$6&amp;", cuya personería se acredita con el nombramiento que se adjunta al presente instrumento en calidad de documento habilitante, parte a la que para los efectos del presente contrato se la denominará en lo sucesivo como “EL PROVEEDOR”")</f>
        <v>B. La compañía NATHALY VARELA , con RUC 0927255406001, debida y legalmente representada por NATHALY VARELA , cuya personería se acredita con el nombramiento que se adjunta al presente instrumento en calidad de documento habilitante, parte a la que para los efectos del presente contrato se la denominará en lo sucesivo como “EL PROVEEDOR”</v>
      </c>
      <c r="B8" s="15"/>
      <c r="C8" s="15"/>
      <c r="D8" s="15"/>
      <c r="E8" s="15"/>
      <c r="F8" s="15"/>
      <c r="G8" s="15"/>
      <c r="H8" s="15"/>
      <c r="J8" t="s">
        <v>16</v>
      </c>
      <c r="K8" t="str">
        <f>IFERROR(INDEX(PROVEEDORES!$F$2:$F$101,MATCH($B$4,PROVEEDORES!$A$2:$A$101,0)),"")</f>
        <v>0989829904</v>
      </c>
    </row>
    <row r="9" spans="1:11" ht="57" customHeight="1">
      <c r="A9" s="15" t="s">
        <v>67</v>
      </c>
      <c r="B9" s="15"/>
      <c r="C9" s="15"/>
      <c r="D9" s="15"/>
      <c r="E9" s="15"/>
      <c r="F9" s="15"/>
      <c r="G9" s="15"/>
      <c r="H9" s="15"/>
      <c r="J9" t="s">
        <v>17</v>
      </c>
      <c r="K9" t="str">
        <f>IFERROR(INDEX(PROVEEDORES!$G$2:$G$101,MATCH($B$4,PROVEEDORES!$A$2:$A$101,0)),"")</f>
        <v>NATHALYCOM@MSN.COM</v>
      </c>
    </row>
    <row r="10" spans="1:11" ht="36" customHeight="1">
      <c r="A10" s="15" t="s">
        <v>68</v>
      </c>
      <c r="B10" s="15"/>
      <c r="C10" s="15"/>
      <c r="D10" s="15"/>
      <c r="E10" s="15"/>
      <c r="F10" s="15"/>
      <c r="G10" s="15"/>
      <c r="H10" s="15"/>
      <c r="J10" t="s">
        <v>18</v>
      </c>
      <c r="K10" t="str">
        <f>IFERROR(INDEX(PROVEEDORES!$H$2:$H$101,MATCH($B$4,PROVEEDORES!$A$2:$A$101,0)),"")</f>
        <v xml:space="preserve">ROCIO BENAVIDES </v>
      </c>
    </row>
    <row r="11" spans="1:11" ht="15" customHeight="1">
      <c r="A11" s="15" t="s">
        <v>19</v>
      </c>
      <c r="B11" s="15"/>
      <c r="C11" s="15"/>
      <c r="D11" s="15"/>
      <c r="E11" s="15"/>
      <c r="F11" s="15"/>
      <c r="G11" s="15"/>
      <c r="H11" s="15"/>
    </row>
    <row r="12" spans="1:11" ht="27.75" customHeight="1">
      <c r="A12" s="15" t="s">
        <v>20</v>
      </c>
      <c r="B12" s="15"/>
      <c r="C12" s="15"/>
      <c r="D12" s="15"/>
      <c r="E12" s="15"/>
      <c r="F12" s="15"/>
      <c r="G12" s="15"/>
      <c r="H12" s="15"/>
    </row>
    <row r="13" spans="1:11" ht="15" customHeight="1">
      <c r="A13" s="15" t="s">
        <v>21</v>
      </c>
      <c r="B13" s="15"/>
      <c r="C13" s="15"/>
      <c r="D13" s="15"/>
      <c r="E13" s="15"/>
      <c r="F13" s="15"/>
      <c r="G13" s="15"/>
      <c r="H13" s="15"/>
    </row>
    <row r="14" spans="1:11" ht="67.5" customHeight="1">
      <c r="A14" s="15" t="s">
        <v>69</v>
      </c>
      <c r="B14" s="15"/>
      <c r="C14" s="15"/>
      <c r="D14" s="15"/>
      <c r="E14" s="15"/>
      <c r="F14" s="15"/>
      <c r="G14" s="15"/>
      <c r="H14" s="15"/>
    </row>
    <row r="15" spans="1:11" ht="15" customHeight="1">
      <c r="A15" s="15" t="s">
        <v>22</v>
      </c>
      <c r="B15" s="15"/>
      <c r="C15" s="15"/>
      <c r="D15" s="15"/>
      <c r="E15" s="15"/>
      <c r="F15" s="15"/>
      <c r="G15" s="15"/>
      <c r="H15" s="15"/>
    </row>
    <row r="16" spans="1:11" ht="26.25" customHeight="1">
      <c r="A16" s="15" t="s">
        <v>23</v>
      </c>
      <c r="B16" s="15"/>
      <c r="C16" s="15"/>
      <c r="D16" s="15"/>
      <c r="E16" s="15"/>
      <c r="F16" s="15"/>
      <c r="G16" s="15"/>
      <c r="H16" s="15"/>
    </row>
    <row r="17" spans="1:8" ht="15" customHeight="1">
      <c r="A17" s="15" t="s">
        <v>24</v>
      </c>
      <c r="B17" s="15"/>
      <c r="C17" s="15"/>
      <c r="D17" s="15"/>
      <c r="E17" s="15"/>
      <c r="F17" s="15"/>
      <c r="G17" s="15"/>
      <c r="H17" s="15"/>
    </row>
    <row r="18" spans="1:8" ht="24" customHeight="1">
      <c r="A18" s="15" t="s">
        <v>25</v>
      </c>
      <c r="B18" s="15"/>
      <c r="C18" s="15"/>
      <c r="D18" s="15"/>
      <c r="E18" s="15"/>
      <c r="F18" s="15"/>
      <c r="G18" s="15"/>
      <c r="H18" s="15"/>
    </row>
    <row r="19" spans="1:8" ht="55.5" customHeight="1">
      <c r="A19" s="15" t="s">
        <v>70</v>
      </c>
      <c r="B19" s="15"/>
      <c r="C19" s="15"/>
      <c r="D19" s="15"/>
      <c r="E19" s="15"/>
      <c r="F19" s="15"/>
      <c r="G19" s="15"/>
      <c r="H19" s="15"/>
    </row>
    <row r="20" spans="1:8" ht="40.5" customHeight="1">
      <c r="A20" s="15" t="s">
        <v>71</v>
      </c>
      <c r="B20" s="15"/>
      <c r="C20" s="15"/>
      <c r="D20" s="15"/>
      <c r="E20" s="15"/>
      <c r="F20" s="15"/>
      <c r="G20" s="15"/>
      <c r="H20" s="15"/>
    </row>
    <row r="21" spans="1:8" ht="15" customHeight="1">
      <c r="A21" s="21" t="s">
        <v>26</v>
      </c>
      <c r="B21" s="21"/>
      <c r="C21" s="21"/>
      <c r="D21" s="21"/>
      <c r="E21" s="21"/>
    </row>
    <row r="22" spans="1:8" ht="15" customHeight="1">
      <c r="A22" s="22" t="s">
        <v>28</v>
      </c>
      <c r="B22" s="22"/>
      <c r="C22" s="23" t="str">
        <f>$K7</f>
        <v xml:space="preserve">23 AVA Y FRANCISCO SEGURA </v>
      </c>
      <c r="D22" s="23"/>
      <c r="E22" s="23"/>
    </row>
    <row r="23" spans="1:8" ht="15" customHeight="1">
      <c r="A23" s="22" t="s">
        <v>30</v>
      </c>
      <c r="B23" s="22"/>
      <c r="C23" s="23" t="str">
        <f>$K8</f>
        <v>0989829904</v>
      </c>
      <c r="D23" s="23"/>
      <c r="E23" s="23"/>
    </row>
    <row r="24" spans="1:8" ht="21.6" customHeight="1">
      <c r="A24" s="22" t="s">
        <v>32</v>
      </c>
      <c r="B24" s="22"/>
      <c r="C24" s="23" t="str">
        <f>$K9</f>
        <v>NATHALYCOM@MSN.COM</v>
      </c>
      <c r="D24" s="23"/>
      <c r="E24" s="23"/>
    </row>
    <row r="25" spans="1:8" ht="15" customHeight="1">
      <c r="A25" s="22" t="s">
        <v>34</v>
      </c>
      <c r="B25" s="22"/>
      <c r="C25" s="23" t="str">
        <f>$K10</f>
        <v xml:space="preserve">ROCIO BENAVIDES </v>
      </c>
      <c r="D25" s="23"/>
      <c r="E25" s="23"/>
    </row>
    <row r="26" spans="1:8" ht="15" customHeight="1">
      <c r="A26" s="20"/>
      <c r="B26" s="20"/>
      <c r="C26" s="20"/>
      <c r="D26" s="20"/>
      <c r="E26" s="20"/>
      <c r="F26" s="20"/>
      <c r="G26" s="20"/>
      <c r="H26" s="20"/>
    </row>
    <row r="27" spans="1:8" ht="15" customHeight="1">
      <c r="A27" s="21" t="s">
        <v>27</v>
      </c>
      <c r="B27" s="21"/>
      <c r="C27" s="21"/>
      <c r="D27" s="21"/>
      <c r="E27" s="21"/>
      <c r="F27" s="20"/>
      <c r="G27" s="20"/>
      <c r="H27" s="20"/>
    </row>
    <row r="28" spans="1:8" ht="15" customHeight="1">
      <c r="A28" s="22" t="s">
        <v>28</v>
      </c>
      <c r="B28" s="22"/>
      <c r="C28" s="23" t="s">
        <v>29</v>
      </c>
      <c r="D28" s="23"/>
      <c r="E28" s="23"/>
      <c r="F28" s="20"/>
      <c r="G28" s="20"/>
      <c r="H28" s="20"/>
    </row>
    <row r="29" spans="1:8" ht="15" customHeight="1">
      <c r="A29" s="22" t="s">
        <v>30</v>
      </c>
      <c r="B29" s="22"/>
      <c r="C29" s="23" t="s">
        <v>31</v>
      </c>
      <c r="D29" s="23"/>
      <c r="E29" s="23"/>
      <c r="F29" s="20"/>
      <c r="G29" s="20"/>
      <c r="H29" s="20"/>
    </row>
    <row r="30" spans="1:8" ht="15" customHeight="1">
      <c r="A30" s="22" t="s">
        <v>32</v>
      </c>
      <c r="B30" s="22"/>
      <c r="C30" s="23" t="s">
        <v>33</v>
      </c>
      <c r="D30" s="23"/>
      <c r="E30" s="23"/>
      <c r="F30" s="20"/>
      <c r="G30" s="20"/>
      <c r="H30" s="20"/>
    </row>
    <row r="31" spans="1:8">
      <c r="A31" s="22" t="s">
        <v>34</v>
      </c>
      <c r="B31" s="22"/>
      <c r="C31" s="23" t="s">
        <v>35</v>
      </c>
      <c r="D31" s="23"/>
      <c r="E31" s="23"/>
    </row>
    <row r="32" spans="1:8">
      <c r="A32" s="20"/>
      <c r="B32" s="20"/>
      <c r="C32" s="20"/>
      <c r="D32" s="20"/>
    </row>
    <row r="33" spans="1:8" ht="24" customHeight="1">
      <c r="A33" s="16" t="s">
        <v>36</v>
      </c>
      <c r="B33" s="16"/>
      <c r="C33" s="16"/>
      <c r="D33" s="16"/>
      <c r="E33" s="16"/>
      <c r="F33" s="16"/>
      <c r="G33" s="16"/>
      <c r="H33" s="16"/>
    </row>
    <row r="34" spans="1:8" ht="15" customHeight="1">
      <c r="A34" s="32"/>
      <c r="B34" s="32"/>
      <c r="C34" s="32"/>
      <c r="D34" s="32"/>
      <c r="E34" s="32"/>
      <c r="F34" s="32"/>
      <c r="G34" s="32"/>
      <c r="H34" s="32"/>
    </row>
    <row r="35" spans="1:8" ht="15" customHeight="1">
      <c r="B35" s="32"/>
      <c r="C35" s="32"/>
      <c r="D35" s="32"/>
      <c r="E35" s="32"/>
      <c r="F35" s="32"/>
      <c r="G35" s="32"/>
      <c r="H35" s="32"/>
    </row>
    <row r="36" spans="1:8" ht="15" customHeight="1">
      <c r="A36" s="33"/>
      <c r="B36" s="32"/>
      <c r="C36" s="32"/>
      <c r="D36" s="32"/>
      <c r="E36" s="32"/>
      <c r="F36" s="32"/>
      <c r="G36" s="32"/>
      <c r="H36" s="32"/>
    </row>
    <row r="37" spans="1:8" ht="15" customHeight="1">
      <c r="A37" s="33" t="s">
        <v>79</v>
      </c>
      <c r="B37" s="32"/>
      <c r="C37" s="32"/>
      <c r="D37" s="32"/>
      <c r="E37" s="32"/>
      <c r="F37" s="32"/>
      <c r="G37" s="32"/>
      <c r="H37" s="32"/>
    </row>
    <row r="38" spans="1:8" ht="15" customHeight="1">
      <c r="A38" s="16" t="s">
        <v>72</v>
      </c>
      <c r="B38" s="16"/>
      <c r="C38" s="16"/>
      <c r="D38" s="16"/>
      <c r="E38" s="16"/>
      <c r="F38" s="16"/>
      <c r="G38" s="16"/>
      <c r="H38" s="16"/>
    </row>
    <row r="39" spans="1:8" ht="82.5" customHeight="1">
      <c r="A39" s="6" t="s">
        <v>37</v>
      </c>
      <c r="B39" s="16"/>
      <c r="C39" s="16"/>
      <c r="D39" s="16"/>
      <c r="E39" s="16"/>
      <c r="F39" s="16"/>
      <c r="G39" s="16"/>
      <c r="H39" s="16"/>
    </row>
    <row r="40" spans="1:8" ht="43.5" customHeight="1">
      <c r="A40" s="16" t="s">
        <v>73</v>
      </c>
      <c r="B40" s="16"/>
      <c r="C40" s="16"/>
      <c r="D40" s="16"/>
      <c r="E40" s="16"/>
      <c r="F40" s="16"/>
      <c r="G40" s="16"/>
      <c r="H40" s="16"/>
    </row>
    <row r="41" spans="1:8" ht="108" customHeight="1">
      <c r="A41" s="16" t="s">
        <v>38</v>
      </c>
      <c r="B41" s="16"/>
      <c r="C41" s="16"/>
      <c r="D41" s="16"/>
      <c r="E41" s="16"/>
      <c r="F41" s="16"/>
      <c r="G41" s="16"/>
      <c r="H41" s="16"/>
    </row>
    <row r="42" spans="1:8" ht="28.5" customHeight="1">
      <c r="A42" s="16" t="s">
        <v>74</v>
      </c>
      <c r="B42" s="16"/>
      <c r="C42" s="16"/>
      <c r="D42" s="16"/>
      <c r="E42" s="16"/>
      <c r="F42" s="16"/>
      <c r="G42" s="16"/>
      <c r="H42" s="16"/>
    </row>
    <row r="44" spans="1:8" ht="15" customHeight="1">
      <c r="A44" s="7" t="s">
        <v>27</v>
      </c>
      <c r="B44" s="7"/>
      <c r="C44" s="7"/>
      <c r="D44" s="7"/>
      <c r="E44" s="7" t="s">
        <v>26</v>
      </c>
      <c r="F44" s="7"/>
      <c r="G44" s="7"/>
      <c r="H44" s="7"/>
    </row>
    <row r="48" spans="1:8">
      <c r="B48"/>
    </row>
    <row r="50" spans="1:8" ht="15" customHeight="1">
      <c r="A50" s="7" t="s">
        <v>39</v>
      </c>
      <c r="B50" s="7"/>
      <c r="C50" s="7"/>
      <c r="D50" s="7"/>
      <c r="E50" s="7" t="str">
        <f>IF($K$6="","NOMBRE DEL FIRMANTE",$K$6)</f>
        <v xml:space="preserve">NATHALY VARELA </v>
      </c>
      <c r="F50" s="7"/>
      <c r="G50" s="7"/>
      <c r="H50" s="7"/>
    </row>
    <row r="52" spans="1:8">
      <c r="A52" s="31"/>
    </row>
    <row r="53" spans="1:8">
      <c r="A53" s="31"/>
    </row>
    <row r="54" spans="1:8">
      <c r="A54" s="31"/>
    </row>
    <row r="55" spans="1:8">
      <c r="A55" s="31"/>
    </row>
    <row r="56" spans="1:8">
      <c r="A56" s="31"/>
    </row>
    <row r="57" spans="1:8">
      <c r="A57" s="31"/>
    </row>
    <row r="58" spans="1:8">
      <c r="A58" s="31"/>
    </row>
    <row r="59" spans="1:8">
      <c r="A59" s="31"/>
    </row>
    <row r="60" spans="1:8">
      <c r="A60" s="31"/>
    </row>
    <row r="61" spans="1:8">
      <c r="A61" s="31"/>
    </row>
    <row r="62" spans="1:8">
      <c r="A62" s="31"/>
    </row>
    <row r="63" spans="1:8">
      <c r="A63" s="31"/>
    </row>
    <row r="64" spans="1:8">
      <c r="A64" s="31"/>
    </row>
    <row r="65" spans="1:8">
      <c r="A65" s="31"/>
    </row>
    <row r="66" spans="1:8">
      <c r="A66" s="31"/>
    </row>
    <row r="67" spans="1:8">
      <c r="A67" s="31"/>
    </row>
    <row r="68" spans="1:8">
      <c r="A68" s="31"/>
    </row>
    <row r="69" spans="1:8">
      <c r="A69" s="33"/>
    </row>
    <row r="70" spans="1:8" ht="15" customHeight="1">
      <c r="A70" s="17" t="s">
        <v>40</v>
      </c>
      <c r="B70" s="17"/>
      <c r="C70" s="17"/>
      <c r="D70" s="17"/>
      <c r="E70" s="17"/>
      <c r="F70" s="17"/>
      <c r="G70" s="17"/>
      <c r="H70" s="17"/>
    </row>
    <row r="71" spans="1:8" ht="15" customHeight="1">
      <c r="A71" s="24" t="s">
        <v>41</v>
      </c>
      <c r="B71" s="24"/>
      <c r="C71" s="24"/>
      <c r="D71" s="24"/>
      <c r="E71" s="24"/>
      <c r="F71" s="24"/>
      <c r="G71" s="24"/>
      <c r="H71" s="24"/>
    </row>
    <row r="72" spans="1:8" ht="91.5" customHeight="1">
      <c r="A72" s="19" t="s">
        <v>42</v>
      </c>
      <c r="B72" s="19"/>
      <c r="C72" s="19"/>
      <c r="D72" s="19"/>
      <c r="E72" s="19"/>
      <c r="F72" s="19"/>
      <c r="G72" s="19"/>
      <c r="H72" s="19"/>
    </row>
    <row r="73" spans="1:8" ht="16.5" customHeight="1">
      <c r="A73" s="25"/>
      <c r="B73" s="25"/>
      <c r="C73" s="25"/>
      <c r="D73" s="25"/>
      <c r="E73" s="25"/>
      <c r="F73" s="25"/>
      <c r="G73" s="25"/>
      <c r="H73" s="25"/>
    </row>
    <row r="74" spans="1:8" ht="15" customHeight="1">
      <c r="A74" s="18" t="s">
        <v>43</v>
      </c>
      <c r="B74" s="18"/>
      <c r="C74" s="18"/>
      <c r="D74" s="18"/>
      <c r="E74" s="18"/>
      <c r="F74" s="18"/>
      <c r="G74" s="18"/>
      <c r="H74" s="18"/>
    </row>
    <row r="75" spans="1:8" ht="15" customHeight="1">
      <c r="A75" s="26" t="s">
        <v>44</v>
      </c>
      <c r="B75" s="26"/>
      <c r="C75" s="26"/>
      <c r="D75" s="26"/>
      <c r="E75" s="26"/>
      <c r="F75" s="26"/>
      <c r="G75" s="26"/>
      <c r="H75" s="26"/>
    </row>
    <row r="76" spans="1:8" ht="39" customHeight="1">
      <c r="A76" s="28" t="s">
        <v>45</v>
      </c>
      <c r="B76" s="28"/>
      <c r="C76" s="28"/>
      <c r="D76" s="28"/>
      <c r="E76" s="28"/>
      <c r="F76" s="28"/>
      <c r="G76" s="28"/>
      <c r="H76" s="28"/>
    </row>
    <row r="77" spans="1:8" ht="31.5" customHeight="1">
      <c r="A77" s="28" t="s">
        <v>46</v>
      </c>
      <c r="B77" s="28"/>
      <c r="C77" s="28"/>
      <c r="D77" s="28"/>
      <c r="E77" s="28"/>
      <c r="F77" s="28"/>
      <c r="G77" s="28"/>
      <c r="H77" s="28"/>
    </row>
    <row r="78" spans="1:8" ht="21.75" customHeight="1">
      <c r="A78" s="29"/>
      <c r="B78" s="29"/>
      <c r="C78" s="29"/>
      <c r="D78" s="29"/>
      <c r="E78" s="29"/>
      <c r="F78" s="29"/>
      <c r="G78" s="29"/>
      <c r="H78" s="29"/>
    </row>
    <row r="79" spans="1:8" ht="15" customHeight="1">
      <c r="A79" s="26" t="s">
        <v>47</v>
      </c>
      <c r="B79" s="26"/>
      <c r="C79" s="26"/>
      <c r="D79" s="26"/>
      <c r="E79" s="26"/>
      <c r="F79" s="26"/>
      <c r="G79" s="26"/>
      <c r="H79" s="26"/>
    </row>
    <row r="80" spans="1:8" ht="56.25" customHeight="1">
      <c r="A80" s="28" t="s">
        <v>48</v>
      </c>
      <c r="B80" s="28"/>
      <c r="C80" s="28"/>
      <c r="D80" s="28"/>
      <c r="E80" s="28"/>
      <c r="F80" s="28"/>
      <c r="G80" s="28"/>
      <c r="H80" s="28"/>
    </row>
    <row r="81" spans="1:8" ht="27.75" customHeight="1">
      <c r="A81" s="28" t="s">
        <v>49</v>
      </c>
      <c r="B81" s="28"/>
      <c r="C81" s="28"/>
      <c r="D81" s="28"/>
      <c r="E81" s="28"/>
      <c r="F81" s="28"/>
      <c r="G81" s="28"/>
      <c r="H81" s="28"/>
    </row>
    <row r="82" spans="1:8" ht="15" customHeight="1">
      <c r="A82" s="29"/>
      <c r="B82" s="29"/>
      <c r="C82" s="29"/>
      <c r="D82" s="29"/>
      <c r="E82" s="29"/>
      <c r="F82" s="29"/>
      <c r="G82" s="29"/>
      <c r="H82" s="29"/>
    </row>
    <row r="83" spans="1:8" ht="15" customHeight="1">
      <c r="A83" s="17" t="s">
        <v>50</v>
      </c>
      <c r="B83" s="17"/>
      <c r="C83" s="17"/>
      <c r="D83" s="17"/>
      <c r="E83" s="17"/>
      <c r="F83" s="17"/>
      <c r="G83" s="17"/>
      <c r="H83" s="17"/>
    </row>
    <row r="84" spans="1:8" ht="15" customHeight="1">
      <c r="A84" s="27"/>
      <c r="B84" s="27"/>
      <c r="C84" s="27"/>
      <c r="D84" s="27"/>
      <c r="E84" s="27"/>
      <c r="F84" s="27"/>
      <c r="G84" s="27"/>
      <c r="H84" s="27"/>
    </row>
    <row r="85" spans="1:8" ht="24" customHeight="1">
      <c r="A85" s="19" t="s">
        <v>51</v>
      </c>
      <c r="B85" s="19"/>
      <c r="C85" s="19"/>
      <c r="D85" s="19"/>
      <c r="E85" s="19"/>
      <c r="F85" s="19"/>
      <c r="G85" s="19"/>
      <c r="H85" s="19"/>
    </row>
    <row r="86" spans="1:8" ht="12.75" customHeight="1">
      <c r="A86" s="25"/>
      <c r="B86" s="25"/>
      <c r="C86" s="25"/>
      <c r="D86" s="25"/>
      <c r="E86" s="25"/>
      <c r="F86" s="25"/>
      <c r="G86" s="25"/>
      <c r="H86" s="25"/>
    </row>
    <row r="87" spans="1:8" ht="334.5" customHeight="1">
      <c r="A87" s="8" t="s">
        <v>52</v>
      </c>
      <c r="B87" s="19"/>
      <c r="C87" s="19"/>
      <c r="D87" s="19"/>
      <c r="E87" s="19"/>
      <c r="F87" s="19"/>
      <c r="G87" s="19"/>
      <c r="H87" s="19"/>
    </row>
    <row r="88" spans="1:8" ht="14.25" customHeight="1">
      <c r="A88" s="4"/>
      <c r="B88" s="25"/>
      <c r="C88" s="25"/>
      <c r="D88" s="25"/>
      <c r="E88" s="25"/>
      <c r="F88" s="25"/>
      <c r="G88" s="25"/>
      <c r="H88" s="25"/>
    </row>
    <row r="89" spans="1:8" ht="36" customHeight="1">
      <c r="A89" s="19" t="s">
        <v>53</v>
      </c>
      <c r="B89" s="19"/>
      <c r="C89" s="19"/>
      <c r="D89" s="19"/>
      <c r="E89" s="19"/>
      <c r="F89" s="19"/>
      <c r="G89" s="19"/>
      <c r="H89" s="19"/>
    </row>
    <row r="92" spans="1:8">
      <c r="A92" s="33" t="s">
        <v>79</v>
      </c>
    </row>
    <row r="102" spans="1:1">
      <c r="A102" s="31"/>
    </row>
  </sheetData>
  <mergeCells count="58">
    <mergeCell ref="A85:H85"/>
    <mergeCell ref="A87:H87"/>
    <mergeCell ref="A89:H89"/>
    <mergeCell ref="A21:E21"/>
    <mergeCell ref="C23:E23"/>
    <mergeCell ref="C22:E22"/>
    <mergeCell ref="C24:E24"/>
    <mergeCell ref="C25:E25"/>
    <mergeCell ref="C28:E28"/>
    <mergeCell ref="C29:E29"/>
    <mergeCell ref="C30:E30"/>
    <mergeCell ref="C31:E31"/>
    <mergeCell ref="A27:E27"/>
    <mergeCell ref="A77:H77"/>
    <mergeCell ref="A79:H79"/>
    <mergeCell ref="A80:H80"/>
    <mergeCell ref="A81:H81"/>
    <mergeCell ref="A83:H83"/>
    <mergeCell ref="A71:H71"/>
    <mergeCell ref="A72:H72"/>
    <mergeCell ref="A74:H74"/>
    <mergeCell ref="A75:H75"/>
    <mergeCell ref="A76:H76"/>
    <mergeCell ref="A44:D44"/>
    <mergeCell ref="E44:H44"/>
    <mergeCell ref="A50:D50"/>
    <mergeCell ref="E50:H50"/>
    <mergeCell ref="A70:H70"/>
    <mergeCell ref="A38:H38"/>
    <mergeCell ref="A39:H39"/>
    <mergeCell ref="A40:H40"/>
    <mergeCell ref="A41:H41"/>
    <mergeCell ref="A42:H42"/>
    <mergeCell ref="A25:B25"/>
    <mergeCell ref="A31:B31"/>
    <mergeCell ref="A33:H33"/>
    <mergeCell ref="A23:B23"/>
    <mergeCell ref="A29:B29"/>
    <mergeCell ref="A24:B24"/>
    <mergeCell ref="A30:B30"/>
    <mergeCell ref="A20:H20"/>
    <mergeCell ref="A22:B22"/>
    <mergeCell ref="A28:B28"/>
    <mergeCell ref="A15:H15"/>
    <mergeCell ref="A16:H16"/>
    <mergeCell ref="A17:H17"/>
    <mergeCell ref="A18:H18"/>
    <mergeCell ref="A19:H19"/>
    <mergeCell ref="A10:H10"/>
    <mergeCell ref="A11:H11"/>
    <mergeCell ref="A12:H12"/>
    <mergeCell ref="A13:H13"/>
    <mergeCell ref="A14:H14"/>
    <mergeCell ref="A3:H3"/>
    <mergeCell ref="A6:H6"/>
    <mergeCell ref="A7:H7"/>
    <mergeCell ref="A8:H8"/>
    <mergeCell ref="A9:H9"/>
  </mergeCells>
  <dataValidations count="1">
    <dataValidation sqref="B4" xr:uid="{00000000-0002-0000-0100-000000000000}">
      <formula1>1</formula1>
      <formula2>100</formula2>
    </dataValidation>
  </dataValidations>
  <hyperlinks>
    <hyperlink ref="A37" r:id="rId1" xr:uid="{C512EBBA-7FE9-4232-A4C9-6F4468F9C2B2}"/>
    <hyperlink ref="A92" r:id="rId2" xr:uid="{0203C49A-02BB-4924-8C19-05ED6B12358B}"/>
  </hyperlinks>
  <pageMargins left="0.7" right="0.7" top="0.75" bottom="0.75" header="0.3" footer="0.3"/>
  <pageSetup paperSize="9" scale="89" fitToHeight="0" orientation="portrait" horizontalDpi="1200" verticalDpi="1200" r:id="rId3"/>
  <rowBreaks count="2" manualBreakCount="2">
    <brk id="37" max="7" man="1"/>
    <brk id="69" max="16383" man="1"/>
  </rowBreaks>
  <colBreaks count="1" manualBreakCount="1">
    <brk id="8" max="1048575" man="1"/>
  </colBreak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selection sqref="A1:F1"/>
    </sheetView>
  </sheetViews>
  <sheetFormatPr baseColWidth="10" defaultColWidth="9" defaultRowHeight="14.25"/>
  <cols>
    <col min="1" max="6" width="16" customWidth="1"/>
  </cols>
  <sheetData>
    <row r="1" spans="1:6" ht="18">
      <c r="A1" s="5" t="s">
        <v>54</v>
      </c>
      <c r="B1" s="5"/>
      <c r="C1" s="5"/>
      <c r="D1" s="5"/>
      <c r="E1" s="5"/>
      <c r="F1" s="5"/>
    </row>
    <row r="3" spans="1:6">
      <c r="A3" s="9" t="s">
        <v>55</v>
      </c>
      <c r="B3" s="9"/>
      <c r="C3" s="9"/>
      <c r="D3" s="9"/>
      <c r="E3" s="9"/>
      <c r="F3" s="9"/>
    </row>
    <row r="4" spans="1:6">
      <c r="A4" s="9" t="s">
        <v>56</v>
      </c>
      <c r="B4" s="9"/>
      <c r="C4" s="9"/>
      <c r="D4" s="9"/>
      <c r="E4" s="9"/>
      <c r="F4" s="9"/>
    </row>
    <row r="5" spans="1:6">
      <c r="A5" s="9" t="s">
        <v>57</v>
      </c>
      <c r="B5" s="9"/>
      <c r="C5" s="9"/>
      <c r="D5" s="9"/>
      <c r="E5" s="9"/>
      <c r="F5" s="9"/>
    </row>
    <row r="6" spans="1:6">
      <c r="A6" s="9" t="s">
        <v>58</v>
      </c>
      <c r="B6" s="9"/>
      <c r="C6" s="9"/>
      <c r="D6" s="9"/>
      <c r="E6" s="9"/>
      <c r="F6" s="9"/>
    </row>
    <row r="7" spans="1:6">
      <c r="A7" s="9" t="s">
        <v>59</v>
      </c>
      <c r="B7" s="9"/>
      <c r="C7" s="9"/>
      <c r="D7" s="9"/>
      <c r="E7" s="9"/>
      <c r="F7" s="9"/>
    </row>
  </sheetData>
  <mergeCells count="6">
    <mergeCell ref="A7:F7"/>
    <mergeCell ref="A1:F1"/>
    <mergeCell ref="A3:F3"/>
    <mergeCell ref="A4:F4"/>
    <mergeCell ref="A5:F5"/>
    <mergeCell ref="A6:F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PROVEEDORES</vt:lpstr>
      <vt:lpstr>ACUERDO</vt:lpstr>
      <vt:lpstr>INSTRUCCIONES</vt:lpstr>
      <vt:lpstr>ACUERDO!Área_de_impresión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CPA. Nathaly Varela</dc:creator>
  <cp:lastModifiedBy>CPA. Nathaly Varela</cp:lastModifiedBy>
  <cp:lastPrinted>2026-08-25T15:38:48Z</cp:lastPrinted>
  <dcterms:created xsi:type="dcterms:W3CDTF">2026-08-25T15:00:17Z</dcterms:created>
  <dcterms:modified xsi:type="dcterms:W3CDTF">2026-08-25T15:39:26Z</dcterms:modified>
</cp:coreProperties>
</file>